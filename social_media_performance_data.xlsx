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567a214d5ac625/Desktop/projects and practice/Excel Projects/Social Media Analytics Dashboard/"/>
    </mc:Choice>
  </mc:AlternateContent>
  <xr:revisionPtr revIDLastSave="508" documentId="8_{F8C9B545-985E-4B95-ABC0-8BF4890717E6}" xr6:coauthVersionLast="47" xr6:coauthVersionMax="47" xr10:uidLastSave="{553B4CED-F64C-4015-845C-0CF29C4E972D}"/>
  <bookViews>
    <workbookView xWindow="-120" yWindow="-120" windowWidth="29040" windowHeight="15720" activeTab="1" xr2:uid="{29A98D70-5809-47DB-B2E9-7B485D8DD51C}"/>
  </bookViews>
  <sheets>
    <sheet name="social_media_data" sheetId="2" r:id="rId1"/>
    <sheet name="Analysis" sheetId="3" r:id="rId2"/>
    <sheet name="Dashboard Elements" sheetId="4" r:id="rId3"/>
    <sheet name="Page1" sheetId="7" r:id="rId4"/>
    <sheet name="Page2" sheetId="8" r:id="rId5"/>
  </sheets>
  <definedNames>
    <definedName name="_xlcn.WorksheetConnection_social_media_performance_data.xlsxsocial_media_data1" hidden="1">social_media_data[]</definedName>
    <definedName name="ExternalData_1" localSheetId="0" hidden="1">social_media_data!$A$1:$AA$451</definedName>
  </definedNames>
  <calcPr calcId="191029"/>
  <pivotCaches>
    <pivotCache cacheId="128" r:id="rId6"/>
    <pivotCache cacheId="131" r:id="rId7"/>
    <pivotCache cacheId="134" r:id="rId8"/>
    <pivotCache cacheId="140" r:id="rId9"/>
    <pivotCache cacheId="196" r:id="rId10"/>
    <pivotCache cacheId="239" r:id="rId11"/>
    <pivotCache cacheId="258" r:id="rId12"/>
    <pivotCache cacheId="298" r:id="rId13"/>
  </pivotCaches>
  <extLst>
    <ext xmlns:x15="http://schemas.microsoft.com/office/spreadsheetml/2010/11/main" uri="{FCE2AD5D-F65C-4FA6-A056-5C36A1767C68}">
      <x15:dataModel>
        <x15:modelTables>
          <x15:modelTable id="social_media_data" name="social_media_data" connection="WorksheetConnection_social_media_performance_data.xlsx!social_media_data"/>
          <x15:modelTable id="Calendar" name="Calendar" connection="Connection"/>
        </x15:modelTables>
        <x15:modelRelationships>
          <x15:modelRelationship fromTable="social_media_data" fromColumn="Post_Date" toTable="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7" i="3" l="1"/>
  <c r="J46" i="3"/>
  <c r="J45" i="3"/>
  <c r="J44" i="3"/>
  <c r="J43" i="3"/>
  <c r="J42" i="3"/>
  <c r="I42" i="3"/>
  <c r="I43" i="3"/>
  <c r="I44" i="3"/>
  <c r="I45" i="3"/>
  <c r="I46" i="3"/>
  <c r="I47" i="3"/>
  <c r="M37" i="3"/>
  <c r="M36" i="3"/>
  <c r="M35" i="3"/>
  <c r="M34" i="3"/>
  <c r="L35" i="3"/>
  <c r="L36" i="3"/>
  <c r="L37" i="3"/>
  <c r="L34" i="3"/>
  <c r="C34" i="3"/>
  <c r="C33" i="3"/>
  <c r="C32" i="3"/>
  <c r="C31" i="3"/>
  <c r="B32" i="3"/>
  <c r="B33" i="3"/>
  <c r="B34" i="3"/>
  <c r="B3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398171-791B-4CCC-BD3E-3C5FC2ED758C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AD4EF409-4C7D-4820-92EE-23CF4C8A2E25}" keepAlive="1" name="Query - social_media_data" description="Connection to the 'social_media_data' query in the workbook." type="5" refreshedVersion="8" background="1" saveData="1">
    <dbPr connection="Provider=Microsoft.Mashup.OleDb.1;Data Source=$Workbook$;Location=social_media_data;Extended Properties=&quot;&quot;" command="SELECT * FROM [social_media_data]"/>
  </connection>
  <connection id="3" xr16:uid="{525AF544-6695-483B-8EB1-DC6766B0F95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821CE6FC-64D6-400F-A089-EEB10C6F55D1}" name="WorksheetConnection_social_media_performance_data.xlsx!social_media_data" type="102" refreshedVersion="8" minRefreshableVersion="5">
    <extLst>
      <ext xmlns:x15="http://schemas.microsoft.com/office/spreadsheetml/2010/11/main" uri="{DE250136-89BD-433C-8126-D09CA5730AF9}">
        <x15:connection id="social_media_data" autoDelete="1">
          <x15:rangePr sourceName="_xlcn.WorksheetConnection_social_media_performance_data.xlsxsocial_media_data1"/>
        </x15:connection>
      </ext>
    </extLst>
  </connection>
</connections>
</file>

<file path=xl/sharedStrings.xml><?xml version="1.0" encoding="utf-8"?>
<sst xmlns="http://schemas.openxmlformats.org/spreadsheetml/2006/main" count="4141" uniqueCount="531">
  <si>
    <t>Post_ID</t>
  </si>
  <si>
    <t>Post_Date</t>
  </si>
  <si>
    <t>Post_Time</t>
  </si>
  <si>
    <t>Post_Time_Slot</t>
  </si>
  <si>
    <t>Platform</t>
  </si>
  <si>
    <t>Content_Type</t>
  </si>
  <si>
    <t>Campaign</t>
  </si>
  <si>
    <t>Is_Boosted</t>
  </si>
  <si>
    <t>Has_Link</t>
  </si>
  <si>
    <t>Hashtags_Count</t>
  </si>
  <si>
    <t>Video_Duration_Sec</t>
  </si>
  <si>
    <t>Image_Count</t>
  </si>
  <si>
    <t>Caption_Length</t>
  </si>
  <si>
    <t>Production_Cost</t>
  </si>
  <si>
    <t>Promotion_Budget</t>
  </si>
  <si>
    <t>Reach</t>
  </si>
  <si>
    <t>Frequency</t>
  </si>
  <si>
    <t>Impressions</t>
  </si>
  <si>
    <t>Likes</t>
  </si>
  <si>
    <t>Comments</t>
  </si>
  <si>
    <t>Shares</t>
  </si>
  <si>
    <t>Saves</t>
  </si>
  <si>
    <t>Link_Clicks</t>
  </si>
  <si>
    <t>Followers_Gained</t>
  </si>
  <si>
    <t>POST_0001</t>
  </si>
  <si>
    <t>Midday</t>
  </si>
  <si>
    <t>TikTok</t>
  </si>
  <si>
    <t>Image</t>
  </si>
  <si>
    <t>Spring Launch</t>
  </si>
  <si>
    <t>No</t>
  </si>
  <si>
    <t>POST_0002</t>
  </si>
  <si>
    <t>Morning</t>
  </si>
  <si>
    <t>Instagram</t>
  </si>
  <si>
    <t>Carousel</t>
  </si>
  <si>
    <t>POST_0003</t>
  </si>
  <si>
    <t>Evening</t>
  </si>
  <si>
    <t>Yes</t>
  </si>
  <si>
    <t>POST_0004</t>
  </si>
  <si>
    <t>Afternoon</t>
  </si>
  <si>
    <t>Twitter/X</t>
  </si>
  <si>
    <t>POST_0005</t>
  </si>
  <si>
    <t>POST_0006</t>
  </si>
  <si>
    <t>Text</t>
  </si>
  <si>
    <t>POST_0007</t>
  </si>
  <si>
    <t>POST_0008</t>
  </si>
  <si>
    <t>Video</t>
  </si>
  <si>
    <t>POST_0009</t>
  </si>
  <si>
    <t>POST_0010</t>
  </si>
  <si>
    <t>Facebook</t>
  </si>
  <si>
    <t>POST_0011</t>
  </si>
  <si>
    <t>POST_0012</t>
  </si>
  <si>
    <t>POST_0013</t>
  </si>
  <si>
    <t>POST_0014</t>
  </si>
  <si>
    <t>POST_0015</t>
  </si>
  <si>
    <t>POST_0016</t>
  </si>
  <si>
    <t>POST_0017</t>
  </si>
  <si>
    <t>POST_0018</t>
  </si>
  <si>
    <t>POST_0019</t>
  </si>
  <si>
    <t>POST_0020</t>
  </si>
  <si>
    <t>POST_0021</t>
  </si>
  <si>
    <t>POST_0022</t>
  </si>
  <si>
    <t>POST_0023</t>
  </si>
  <si>
    <t>POST_0024</t>
  </si>
  <si>
    <t>POST_0025</t>
  </si>
  <si>
    <t>POST_0026</t>
  </si>
  <si>
    <t>POST_0027</t>
  </si>
  <si>
    <t>POST_0028</t>
  </si>
  <si>
    <t>POST_0029</t>
  </si>
  <si>
    <t>POST_0030</t>
  </si>
  <si>
    <t>POST_0031</t>
  </si>
  <si>
    <t>POST_0032</t>
  </si>
  <si>
    <t>POST_0033</t>
  </si>
  <si>
    <t>POST_0034</t>
  </si>
  <si>
    <t>POST_0035</t>
  </si>
  <si>
    <t>POST_0036</t>
  </si>
  <si>
    <t>POST_0037</t>
  </si>
  <si>
    <t>POST_0038</t>
  </si>
  <si>
    <t>POST_0039</t>
  </si>
  <si>
    <t>POST_0040</t>
  </si>
  <si>
    <t>POST_0041</t>
  </si>
  <si>
    <t>POST_0042</t>
  </si>
  <si>
    <t>POST_0043</t>
  </si>
  <si>
    <t>POST_0044</t>
  </si>
  <si>
    <t>POST_0045</t>
  </si>
  <si>
    <t>POST_0046</t>
  </si>
  <si>
    <t>POST_0047</t>
  </si>
  <si>
    <t>POST_0048</t>
  </si>
  <si>
    <t>POST_0049</t>
  </si>
  <si>
    <t>POST_0050</t>
  </si>
  <si>
    <t>POST_0051</t>
  </si>
  <si>
    <t>POST_0052</t>
  </si>
  <si>
    <t>POST_0053</t>
  </si>
  <si>
    <t>POST_0054</t>
  </si>
  <si>
    <t>POST_0055</t>
  </si>
  <si>
    <t>POST_0056</t>
  </si>
  <si>
    <t>POST_0057</t>
  </si>
  <si>
    <t>POST_0058</t>
  </si>
  <si>
    <t>POST_0059</t>
  </si>
  <si>
    <t>POST_0060</t>
  </si>
  <si>
    <t>POST_0061</t>
  </si>
  <si>
    <t>POST_0062</t>
  </si>
  <si>
    <t>POST_0063</t>
  </si>
  <si>
    <t>POST_0064</t>
  </si>
  <si>
    <t>POST_0065</t>
  </si>
  <si>
    <t>POST_0066</t>
  </si>
  <si>
    <t>POST_0067</t>
  </si>
  <si>
    <t>POST_0068</t>
  </si>
  <si>
    <t>POST_0069</t>
  </si>
  <si>
    <t>POST_0070</t>
  </si>
  <si>
    <t>POST_0071</t>
  </si>
  <si>
    <t>POST_0072</t>
  </si>
  <si>
    <t>POST_0073</t>
  </si>
  <si>
    <t>POST_0074</t>
  </si>
  <si>
    <t>POST_0075</t>
  </si>
  <si>
    <t>POST_0076</t>
  </si>
  <si>
    <t>POST_0077</t>
  </si>
  <si>
    <t>POST_0078</t>
  </si>
  <si>
    <t>POST_0079</t>
  </si>
  <si>
    <t>POST_0080</t>
  </si>
  <si>
    <t>POST_0081</t>
  </si>
  <si>
    <t>POST_0082</t>
  </si>
  <si>
    <t>POST_0083</t>
  </si>
  <si>
    <t>POST_0084</t>
  </si>
  <si>
    <t>POST_0085</t>
  </si>
  <si>
    <t>POST_0086</t>
  </si>
  <si>
    <t>POST_0087</t>
  </si>
  <si>
    <t>POST_0088</t>
  </si>
  <si>
    <t>POST_0089</t>
  </si>
  <si>
    <t>POST_0090</t>
  </si>
  <si>
    <t>POST_0091</t>
  </si>
  <si>
    <t>POST_0092</t>
  </si>
  <si>
    <t>POST_0093</t>
  </si>
  <si>
    <t>POST_0094</t>
  </si>
  <si>
    <t>POST_0095</t>
  </si>
  <si>
    <t>POST_0096</t>
  </si>
  <si>
    <t>POST_0097</t>
  </si>
  <si>
    <t>POST_0098</t>
  </si>
  <si>
    <t>POST_0099</t>
  </si>
  <si>
    <t>POST_0100</t>
  </si>
  <si>
    <t>POST_0101</t>
  </si>
  <si>
    <t>POST_0102</t>
  </si>
  <si>
    <t>POST_0103</t>
  </si>
  <si>
    <t>POST_0104</t>
  </si>
  <si>
    <t>POST_0105</t>
  </si>
  <si>
    <t>POST_0106</t>
  </si>
  <si>
    <t>POST_0107</t>
  </si>
  <si>
    <t>POST_0108</t>
  </si>
  <si>
    <t>POST_0109</t>
  </si>
  <si>
    <t>POST_0110</t>
  </si>
  <si>
    <t>POST_0111</t>
  </si>
  <si>
    <t>POST_0112</t>
  </si>
  <si>
    <t>POST_0113</t>
  </si>
  <si>
    <t>POST_0114</t>
  </si>
  <si>
    <t>POST_0115</t>
  </si>
  <si>
    <t>POST_0116</t>
  </si>
  <si>
    <t>POST_0117</t>
  </si>
  <si>
    <t>POST_0118</t>
  </si>
  <si>
    <t>Summer Vibes</t>
  </si>
  <si>
    <t>POST_0119</t>
  </si>
  <si>
    <t>POST_0120</t>
  </si>
  <si>
    <t>POST_0121</t>
  </si>
  <si>
    <t>POST_0122</t>
  </si>
  <si>
    <t>POST_0123</t>
  </si>
  <si>
    <t>POST_0124</t>
  </si>
  <si>
    <t>POST_0125</t>
  </si>
  <si>
    <t>POST_0126</t>
  </si>
  <si>
    <t>POST_0127</t>
  </si>
  <si>
    <t>POST_0128</t>
  </si>
  <si>
    <t>POST_0129</t>
  </si>
  <si>
    <t>POST_0130</t>
  </si>
  <si>
    <t>POST_0131</t>
  </si>
  <si>
    <t>POST_0132</t>
  </si>
  <si>
    <t>POST_0133</t>
  </si>
  <si>
    <t>POST_0134</t>
  </si>
  <si>
    <t>POST_0135</t>
  </si>
  <si>
    <t>POST_0136</t>
  </si>
  <si>
    <t>POST_0137</t>
  </si>
  <si>
    <t>POST_0138</t>
  </si>
  <si>
    <t>POST_0139</t>
  </si>
  <si>
    <t>POST_0140</t>
  </si>
  <si>
    <t>POST_0141</t>
  </si>
  <si>
    <t>POST_0142</t>
  </si>
  <si>
    <t>POST_0143</t>
  </si>
  <si>
    <t>POST_0144</t>
  </si>
  <si>
    <t>POST_0145</t>
  </si>
  <si>
    <t>POST_0146</t>
  </si>
  <si>
    <t>POST_0147</t>
  </si>
  <si>
    <t>POST_0148</t>
  </si>
  <si>
    <t>POST_0149</t>
  </si>
  <si>
    <t>POST_0150</t>
  </si>
  <si>
    <t>POST_0151</t>
  </si>
  <si>
    <t>POST_0152</t>
  </si>
  <si>
    <t>POST_0153</t>
  </si>
  <si>
    <t>POST_0154</t>
  </si>
  <si>
    <t>POST_0155</t>
  </si>
  <si>
    <t>POST_0156</t>
  </si>
  <si>
    <t>POST_0157</t>
  </si>
  <si>
    <t>POST_0158</t>
  </si>
  <si>
    <t>POST_0159</t>
  </si>
  <si>
    <t>POST_0160</t>
  </si>
  <si>
    <t>POST_0161</t>
  </si>
  <si>
    <t>POST_0162</t>
  </si>
  <si>
    <t>POST_0163</t>
  </si>
  <si>
    <t>POST_0164</t>
  </si>
  <si>
    <t>POST_0165</t>
  </si>
  <si>
    <t>POST_0166</t>
  </si>
  <si>
    <t>POST_0167</t>
  </si>
  <si>
    <t>POST_0168</t>
  </si>
  <si>
    <t>POST_0169</t>
  </si>
  <si>
    <t>POST_0170</t>
  </si>
  <si>
    <t>POST_0171</t>
  </si>
  <si>
    <t>POST_0172</t>
  </si>
  <si>
    <t>POST_0173</t>
  </si>
  <si>
    <t>POST_0174</t>
  </si>
  <si>
    <t>POST_0175</t>
  </si>
  <si>
    <t>POST_0176</t>
  </si>
  <si>
    <t>POST_0177</t>
  </si>
  <si>
    <t>POST_0178</t>
  </si>
  <si>
    <t>POST_0179</t>
  </si>
  <si>
    <t>POST_0180</t>
  </si>
  <si>
    <t>POST_0181</t>
  </si>
  <si>
    <t>POST_0182</t>
  </si>
  <si>
    <t>POST_0183</t>
  </si>
  <si>
    <t>POST_0184</t>
  </si>
  <si>
    <t>POST_0185</t>
  </si>
  <si>
    <t>POST_0186</t>
  </si>
  <si>
    <t>POST_0187</t>
  </si>
  <si>
    <t>POST_0188</t>
  </si>
  <si>
    <t>POST_0189</t>
  </si>
  <si>
    <t>POST_0190</t>
  </si>
  <si>
    <t>POST_0191</t>
  </si>
  <si>
    <t>POST_0192</t>
  </si>
  <si>
    <t>POST_0193</t>
  </si>
  <si>
    <t>POST_0194</t>
  </si>
  <si>
    <t>POST_0195</t>
  </si>
  <si>
    <t>POST_0196</t>
  </si>
  <si>
    <t>POST_0197</t>
  </si>
  <si>
    <t>POST_0198</t>
  </si>
  <si>
    <t>POST_0199</t>
  </si>
  <si>
    <t>POST_0200</t>
  </si>
  <si>
    <t>POST_0201</t>
  </si>
  <si>
    <t>POST_0202</t>
  </si>
  <si>
    <t>POST_0203</t>
  </si>
  <si>
    <t>POST_0204</t>
  </si>
  <si>
    <t>POST_0205</t>
  </si>
  <si>
    <t>POST_0206</t>
  </si>
  <si>
    <t>POST_0207</t>
  </si>
  <si>
    <t>POST_0208</t>
  </si>
  <si>
    <t>POST_0209</t>
  </si>
  <si>
    <t>POST_0210</t>
  </si>
  <si>
    <t>POST_0211</t>
  </si>
  <si>
    <t>POST_0212</t>
  </si>
  <si>
    <t>POST_0213</t>
  </si>
  <si>
    <t>POST_0214</t>
  </si>
  <si>
    <t>Back to School</t>
  </si>
  <si>
    <t>POST_0215</t>
  </si>
  <si>
    <t>POST_0216</t>
  </si>
  <si>
    <t>POST_0217</t>
  </si>
  <si>
    <t>POST_0218</t>
  </si>
  <si>
    <t>POST_0219</t>
  </si>
  <si>
    <t>POST_0220</t>
  </si>
  <si>
    <t>POST_0221</t>
  </si>
  <si>
    <t>POST_0222</t>
  </si>
  <si>
    <t>POST_0223</t>
  </si>
  <si>
    <t>POST_0224</t>
  </si>
  <si>
    <t>POST_0225</t>
  </si>
  <si>
    <t>POST_0226</t>
  </si>
  <si>
    <t>POST_0227</t>
  </si>
  <si>
    <t>POST_0228</t>
  </si>
  <si>
    <t>POST_0229</t>
  </si>
  <si>
    <t>POST_0230</t>
  </si>
  <si>
    <t>POST_0231</t>
  </si>
  <si>
    <t>POST_0232</t>
  </si>
  <si>
    <t>POST_0233</t>
  </si>
  <si>
    <t>POST_0234</t>
  </si>
  <si>
    <t>POST_0235</t>
  </si>
  <si>
    <t>POST_0236</t>
  </si>
  <si>
    <t>POST_0237</t>
  </si>
  <si>
    <t>POST_0238</t>
  </si>
  <si>
    <t>POST_0239</t>
  </si>
  <si>
    <t>POST_0240</t>
  </si>
  <si>
    <t>POST_0241</t>
  </si>
  <si>
    <t>POST_0242</t>
  </si>
  <si>
    <t>POST_0243</t>
  </si>
  <si>
    <t>POST_0244</t>
  </si>
  <si>
    <t>POST_0245</t>
  </si>
  <si>
    <t>POST_0246</t>
  </si>
  <si>
    <t>POST_0247</t>
  </si>
  <si>
    <t>POST_0248</t>
  </si>
  <si>
    <t>POST_0249</t>
  </si>
  <si>
    <t>POST_0250</t>
  </si>
  <si>
    <t>POST_0251</t>
  </si>
  <si>
    <t>POST_0252</t>
  </si>
  <si>
    <t>Fall Collection</t>
  </si>
  <si>
    <t>POST_0253</t>
  </si>
  <si>
    <t>POST_0254</t>
  </si>
  <si>
    <t>POST_0255</t>
  </si>
  <si>
    <t>POST_0256</t>
  </si>
  <si>
    <t>POST_0257</t>
  </si>
  <si>
    <t>POST_0258</t>
  </si>
  <si>
    <t>POST_0259</t>
  </si>
  <si>
    <t>POST_0260</t>
  </si>
  <si>
    <t>POST_0261</t>
  </si>
  <si>
    <t>POST_0262</t>
  </si>
  <si>
    <t>POST_0263</t>
  </si>
  <si>
    <t>POST_0264</t>
  </si>
  <si>
    <t>POST_0265</t>
  </si>
  <si>
    <t>POST_0266</t>
  </si>
  <si>
    <t>POST_0267</t>
  </si>
  <si>
    <t>POST_0268</t>
  </si>
  <si>
    <t>POST_0269</t>
  </si>
  <si>
    <t>POST_0270</t>
  </si>
  <si>
    <t>POST_0271</t>
  </si>
  <si>
    <t>POST_0272</t>
  </si>
  <si>
    <t>POST_0273</t>
  </si>
  <si>
    <t>POST_0274</t>
  </si>
  <si>
    <t>POST_0275</t>
  </si>
  <si>
    <t>POST_0276</t>
  </si>
  <si>
    <t>POST_0277</t>
  </si>
  <si>
    <t>POST_0278</t>
  </si>
  <si>
    <t>POST_0279</t>
  </si>
  <si>
    <t>POST_0280</t>
  </si>
  <si>
    <t>POST_0281</t>
  </si>
  <si>
    <t>POST_0282</t>
  </si>
  <si>
    <t>POST_0283</t>
  </si>
  <si>
    <t>POST_0284</t>
  </si>
  <si>
    <t>POST_0285</t>
  </si>
  <si>
    <t>POST_0286</t>
  </si>
  <si>
    <t>POST_0287</t>
  </si>
  <si>
    <t>POST_0288</t>
  </si>
  <si>
    <t>POST_0289</t>
  </si>
  <si>
    <t>POST_0290</t>
  </si>
  <si>
    <t>POST_0291</t>
  </si>
  <si>
    <t>POST_0292</t>
  </si>
  <si>
    <t>POST_0293</t>
  </si>
  <si>
    <t>POST_0294</t>
  </si>
  <si>
    <t>POST_0295</t>
  </si>
  <si>
    <t>POST_0296</t>
  </si>
  <si>
    <t>POST_0297</t>
  </si>
  <si>
    <t>POST_0298</t>
  </si>
  <si>
    <t>POST_0299</t>
  </si>
  <si>
    <t>POST_0300</t>
  </si>
  <si>
    <t>POST_0301</t>
  </si>
  <si>
    <t>POST_0302</t>
  </si>
  <si>
    <t>POST_0303</t>
  </si>
  <si>
    <t>POST_0304</t>
  </si>
  <si>
    <t>POST_0305</t>
  </si>
  <si>
    <t>POST_0306</t>
  </si>
  <si>
    <t>POST_0307</t>
  </si>
  <si>
    <t>POST_0308</t>
  </si>
  <si>
    <t>POST_0309</t>
  </si>
  <si>
    <t>POST_0310</t>
  </si>
  <si>
    <t>POST_0311</t>
  </si>
  <si>
    <t>POST_0312</t>
  </si>
  <si>
    <t>POST_0313</t>
  </si>
  <si>
    <t>POST_0314</t>
  </si>
  <si>
    <t>POST_0315</t>
  </si>
  <si>
    <t>POST_0316</t>
  </si>
  <si>
    <t>POST_0317</t>
  </si>
  <si>
    <t>POST_0318</t>
  </si>
  <si>
    <t>Holiday Magic</t>
  </si>
  <si>
    <t>POST_0319</t>
  </si>
  <si>
    <t>POST_0320</t>
  </si>
  <si>
    <t>POST_0321</t>
  </si>
  <si>
    <t>POST_0322</t>
  </si>
  <si>
    <t>POST_0323</t>
  </si>
  <si>
    <t>POST_0324</t>
  </si>
  <si>
    <t>POST_0325</t>
  </si>
  <si>
    <t>POST_0326</t>
  </si>
  <si>
    <t>POST_0327</t>
  </si>
  <si>
    <t>POST_0328</t>
  </si>
  <si>
    <t>POST_0329</t>
  </si>
  <si>
    <t>POST_0330</t>
  </si>
  <si>
    <t>POST_0331</t>
  </si>
  <si>
    <t>POST_0332</t>
  </si>
  <si>
    <t>POST_0333</t>
  </si>
  <si>
    <t>POST_0334</t>
  </si>
  <si>
    <t>POST_0335</t>
  </si>
  <si>
    <t>POST_0336</t>
  </si>
  <si>
    <t>POST_0337</t>
  </si>
  <si>
    <t>POST_0338</t>
  </si>
  <si>
    <t>POST_0339</t>
  </si>
  <si>
    <t>POST_0340</t>
  </si>
  <si>
    <t>POST_0341</t>
  </si>
  <si>
    <t>POST_0342</t>
  </si>
  <si>
    <t>POST_0343</t>
  </si>
  <si>
    <t>POST_0344</t>
  </si>
  <si>
    <t>POST_0345</t>
  </si>
  <si>
    <t>POST_0346</t>
  </si>
  <si>
    <t>POST_0347</t>
  </si>
  <si>
    <t>POST_0348</t>
  </si>
  <si>
    <t>POST_0349</t>
  </si>
  <si>
    <t>POST_0350</t>
  </si>
  <si>
    <t>POST_0351</t>
  </si>
  <si>
    <t>POST_0352</t>
  </si>
  <si>
    <t>POST_0353</t>
  </si>
  <si>
    <t>POST_0354</t>
  </si>
  <si>
    <t>POST_0355</t>
  </si>
  <si>
    <t>POST_0356</t>
  </si>
  <si>
    <t>POST_0357</t>
  </si>
  <si>
    <t>POST_0358</t>
  </si>
  <si>
    <t>POST_0359</t>
  </si>
  <si>
    <t>POST_0360</t>
  </si>
  <si>
    <t>POST_0361</t>
  </si>
  <si>
    <t>POST_0362</t>
  </si>
  <si>
    <t>POST_0363</t>
  </si>
  <si>
    <t>New Year Reset</t>
  </si>
  <si>
    <t>POST_0364</t>
  </si>
  <si>
    <t>POST_0365</t>
  </si>
  <si>
    <t>POST_0366</t>
  </si>
  <si>
    <t>POST_0367</t>
  </si>
  <si>
    <t>POST_0368</t>
  </si>
  <si>
    <t>POST_0369</t>
  </si>
  <si>
    <t>POST_0370</t>
  </si>
  <si>
    <t>POST_0371</t>
  </si>
  <si>
    <t>POST_0372</t>
  </si>
  <si>
    <t>POST_0373</t>
  </si>
  <si>
    <t>POST_0374</t>
  </si>
  <si>
    <t>POST_0375</t>
  </si>
  <si>
    <t>POST_0376</t>
  </si>
  <si>
    <t>POST_0377</t>
  </si>
  <si>
    <t>POST_0378</t>
  </si>
  <si>
    <t>POST_0379</t>
  </si>
  <si>
    <t>POST_0380</t>
  </si>
  <si>
    <t>POST_0381</t>
  </si>
  <si>
    <t>POST_0382</t>
  </si>
  <si>
    <t>POST_0383</t>
  </si>
  <si>
    <t>POST_0384</t>
  </si>
  <si>
    <t>POST_0385</t>
  </si>
  <si>
    <t>POST_0386</t>
  </si>
  <si>
    <t>POST_0387</t>
  </si>
  <si>
    <t>POST_0388</t>
  </si>
  <si>
    <t>POST_0389</t>
  </si>
  <si>
    <t>POST_0390</t>
  </si>
  <si>
    <t>POST_0391</t>
  </si>
  <si>
    <t>POST_0392</t>
  </si>
  <si>
    <t>POST_0393</t>
  </si>
  <si>
    <t>POST_0394</t>
  </si>
  <si>
    <t>POST_0395</t>
  </si>
  <si>
    <t>POST_0396</t>
  </si>
  <si>
    <t>POST_0397</t>
  </si>
  <si>
    <t>POST_0398</t>
  </si>
  <si>
    <t>POST_0399</t>
  </si>
  <si>
    <t>POST_0400</t>
  </si>
  <si>
    <t>POST_0401</t>
  </si>
  <si>
    <t>POST_0402</t>
  </si>
  <si>
    <t>POST_0403</t>
  </si>
  <si>
    <t>POST_0404</t>
  </si>
  <si>
    <t>POST_0405</t>
  </si>
  <si>
    <t>POST_0406</t>
  </si>
  <si>
    <t>POST_0407</t>
  </si>
  <si>
    <t>POST_0408</t>
  </si>
  <si>
    <t>POST_0409</t>
  </si>
  <si>
    <t>POST_0410</t>
  </si>
  <si>
    <t>POST_0411</t>
  </si>
  <si>
    <t>POST_0412</t>
  </si>
  <si>
    <t>POST_0413</t>
  </si>
  <si>
    <t>POST_0414</t>
  </si>
  <si>
    <t>POST_0415</t>
  </si>
  <si>
    <t>POST_0416</t>
  </si>
  <si>
    <t>POST_0417</t>
  </si>
  <si>
    <t>POST_0418</t>
  </si>
  <si>
    <t>POST_0419</t>
  </si>
  <si>
    <t>POST_0420</t>
  </si>
  <si>
    <t>POST_0421</t>
  </si>
  <si>
    <t>POST_0422</t>
  </si>
  <si>
    <t>POST_0423</t>
  </si>
  <si>
    <t>POST_0424</t>
  </si>
  <si>
    <t>POST_0425</t>
  </si>
  <si>
    <t>POST_0426</t>
  </si>
  <si>
    <t>POST_0427</t>
  </si>
  <si>
    <t>POST_0428</t>
  </si>
  <si>
    <t>POST_0429</t>
  </si>
  <si>
    <t>POST_0430</t>
  </si>
  <si>
    <t>POST_0431</t>
  </si>
  <si>
    <t>POST_0432</t>
  </si>
  <si>
    <t>POST_0433</t>
  </si>
  <si>
    <t>POST_0434</t>
  </si>
  <si>
    <t>POST_0435</t>
  </si>
  <si>
    <t>POST_0436</t>
  </si>
  <si>
    <t>POST_0437</t>
  </si>
  <si>
    <t>POST_0438</t>
  </si>
  <si>
    <t>POST_0439</t>
  </si>
  <si>
    <t>POST_0440</t>
  </si>
  <si>
    <t>POST_0441</t>
  </si>
  <si>
    <t>POST_0442</t>
  </si>
  <si>
    <t>POST_0443</t>
  </si>
  <si>
    <t>POST_0444</t>
  </si>
  <si>
    <t>POST_0445</t>
  </si>
  <si>
    <t>POST_0446</t>
  </si>
  <si>
    <t>POST_0447</t>
  </si>
  <si>
    <t>POST_0448</t>
  </si>
  <si>
    <t>POST_0449</t>
  </si>
  <si>
    <t>POST_0450</t>
  </si>
  <si>
    <t>Caption_Length_Bucket</t>
  </si>
  <si>
    <t>Engagements</t>
  </si>
  <si>
    <t>Is_Viral</t>
  </si>
  <si>
    <t>Medium</t>
  </si>
  <si>
    <t>Normal</t>
  </si>
  <si>
    <t>Long</t>
  </si>
  <si>
    <t>Viral</t>
  </si>
  <si>
    <t>Short</t>
  </si>
  <si>
    <t>KPIs</t>
  </si>
  <si>
    <t>Core Metrics</t>
  </si>
  <si>
    <t>Total Followers</t>
  </si>
  <si>
    <t>Total Engagement</t>
  </si>
  <si>
    <t>Total Impressions</t>
  </si>
  <si>
    <t>Total Reach</t>
  </si>
  <si>
    <t>Total Cost</t>
  </si>
  <si>
    <t>Total Posts</t>
  </si>
  <si>
    <t>Engagement Rate</t>
  </si>
  <si>
    <t>Average Engagement</t>
  </si>
  <si>
    <t>Likes %</t>
  </si>
  <si>
    <t>Comment %</t>
  </si>
  <si>
    <t>Shares %</t>
  </si>
  <si>
    <t>Saves %</t>
  </si>
  <si>
    <t>Follower Conversion Rate</t>
  </si>
  <si>
    <t>Engagement Quality Score</t>
  </si>
  <si>
    <t>Engagement Metrics</t>
  </si>
  <si>
    <t>Financial Metrics</t>
  </si>
  <si>
    <t>Cost Per Engagement</t>
  </si>
  <si>
    <t>CPM</t>
  </si>
  <si>
    <t>Cost Per Follower</t>
  </si>
  <si>
    <t>CTR</t>
  </si>
  <si>
    <t>ROI Engagement</t>
  </si>
  <si>
    <t>Analysis</t>
  </si>
  <si>
    <t>Question 1: "Which platform delivers the highest engagement rate?"</t>
  </si>
  <si>
    <t>Row Labels</t>
  </si>
  <si>
    <t>Question 2: "What content type performs best across platforms?"</t>
  </si>
  <si>
    <t>Column Labels</t>
  </si>
  <si>
    <t>Question 3: "Which campaigns generated the most engagement and follower growth?"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</si>
</sst>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[$-F400]h:mm:ss\ AM/PM"/>
    <numFmt numFmtId="172" formatCode="#,##0.0"/>
    <numFmt numFmtId="176" formatCode="_(&quot;$&quot;* #,##0_);_(&quot;$&quot;* \(#,##0\);_(&quot;$&quot;* &quot;-&quot;??_);_(@_)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1F1F1F"/>
      <name val="Aptos Narrow"/>
      <family val="2"/>
    </font>
    <font>
      <sz val="11"/>
      <color theme="6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6" fillId="0" borderId="0" xfId="0" applyFont="1"/>
    <xf numFmtId="0" fontId="18" fillId="0" borderId="0" xfId="0" applyFont="1"/>
    <xf numFmtId="4" fontId="0" fillId="0" borderId="0" xfId="0" applyNumberFormat="1"/>
    <xf numFmtId="172" fontId="0" fillId="0" borderId="0" xfId="0" applyNumberFormat="1"/>
    <xf numFmtId="3" fontId="0" fillId="0" borderId="0" xfId="0" applyNumberFormat="1"/>
    <xf numFmtId="0" fontId="0" fillId="0" borderId="0" xfId="0" pivotButton="1"/>
    <xf numFmtId="10" fontId="0" fillId="0" borderId="0" xfId="0" applyNumberFormat="1"/>
    <xf numFmtId="44" fontId="0" fillId="0" borderId="0" xfId="0" applyNumberFormat="1"/>
    <xf numFmtId="176" fontId="0" fillId="0" borderId="0" xfId="0" applyNumberFormat="1"/>
    <xf numFmtId="0" fontId="19" fillId="0" borderId="0" xfId="0" applyFont="1"/>
    <xf numFmtId="0" fontId="20" fillId="0" borderId="0" xfId="0" applyFont="1"/>
    <xf numFmtId="1" fontId="0" fillId="0" borderId="0" xfId="0" applyNumberFormat="1"/>
    <xf numFmtId="0" fontId="22" fillId="0" borderId="0" xfId="0" applyFont="1"/>
    <xf numFmtId="0" fontId="0" fillId="0" borderId="0" xfId="0" applyAlignment="1">
      <alignment horizontal="left"/>
    </xf>
    <xf numFmtId="10" fontId="0" fillId="0" borderId="0" xfId="42" applyNumberFormat="1" applyFont="1"/>
    <xf numFmtId="0" fontId="9" fillId="5" borderId="4" xfId="0" applyFont="1" applyFill="1" applyBorder="1"/>
    <xf numFmtId="0" fontId="9" fillId="5" borderId="4" xfId="0" applyNumberFormat="1" applyFont="1" applyFill="1" applyBorder="1"/>
    <xf numFmtId="0" fontId="21" fillId="33" borderId="0" xfId="0" applyFont="1" applyFill="1"/>
    <xf numFmtId="0" fontId="0" fillId="33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16">
    <dxf>
      <numFmt numFmtId="3" formatCode="#,##0"/>
    </dxf>
    <dxf>
      <numFmt numFmtId="14" formatCode="0.00%"/>
    </dxf>
    <dxf>
      <numFmt numFmtId="176" formatCode="_(&quot;$&quot;* #,##0_);_(&quot;$&quot;* \(#,##0\);_(&quot;$&quot;* &quot;-&quot;??_);_(@_)"/>
    </dxf>
    <dxf>
      <numFmt numFmtId="3" formatCode="#,##0"/>
    </dxf>
    <dxf>
      <numFmt numFmtId="14" formatCode="0.00%"/>
    </dxf>
    <dxf>
      <numFmt numFmtId="176" formatCode="_(&quot;$&quot;* #,##0_);_(&quot;$&quot;* \(#,##0\);_(&quot;$&quot;* &quot;-&quot;??_);_(@_)"/>
    </dxf>
    <dxf>
      <numFmt numFmtId="175" formatCode="_(&quot;$&quot;* #,##0.0_);_(&quot;$&quot;* \(#,##0.0\);_(&quot;$&quot;* &quot;-&quot;??_);_(@_)"/>
    </dxf>
    <dxf>
      <numFmt numFmtId="176" formatCode="_(&quot;$&quot;* #,##0_);_(&quot;$&quot;* \(#,##0\);_(&quot;$&quot;* &quot;-&quot;??_);_(@_)"/>
    </dxf>
    <dxf>
      <numFmt numFmtId="3" formatCode="#,##0"/>
    </dxf>
    <dxf>
      <numFmt numFmtId="14" formatCode="0.00%"/>
    </dxf>
    <dxf>
      <numFmt numFmtId="175" formatCode="_(&quot;$&quot;* #,##0.0_);_(&quot;$&quot;* \(#,##0.0\);_(&quot;$&quot;* &quot;-&quot;??_);_(@_)"/>
    </dxf>
    <dxf>
      <numFmt numFmtId="34" formatCode="_(&quot;$&quot;* #,##0.00_);_(&quot;$&quot;* \(#,##0.00\);_(&quot;$&quot;* &quot;-&quot;??_);_(@_)"/>
    </dxf>
    <dxf>
      <numFmt numFmtId="3" formatCode="#,##0"/>
    </dxf>
    <dxf>
      <numFmt numFmtId="14" formatCode="0.00%"/>
    </dxf>
    <dxf>
      <numFmt numFmtId="34" formatCode="_(&quot;$&quot;* #,##0.00_);_(&quot;$&quot;* \(#,##0.00\);_(&quot;$&quot;* &quot;-&quot;??_);_(@_)"/>
    </dxf>
    <dxf>
      <numFmt numFmtId="3" formatCode="#,##0"/>
    </dxf>
    <dxf>
      <numFmt numFmtId="14" formatCode="0.00%"/>
    </dxf>
    <dxf>
      <numFmt numFmtId="3" formatCode="#,##0"/>
    </dxf>
    <dxf>
      <numFmt numFmtId="14" formatCode="0.00%"/>
    </dxf>
    <dxf>
      <numFmt numFmtId="3" formatCode="#,##0"/>
    </dxf>
    <dxf>
      <numFmt numFmtId="14" formatCode="0.00%"/>
    </dxf>
    <dxf>
      <numFmt numFmtId="3" formatCode="#,##0"/>
    </dxf>
    <dxf>
      <numFmt numFmtId="14" formatCode="0.00%"/>
    </dxf>
    <dxf>
      <numFmt numFmtId="3" formatCode="#,##0"/>
    </dxf>
    <dxf>
      <numFmt numFmtId="14" formatCode="0.00%"/>
    </dxf>
    <dxf>
      <numFmt numFmtId="174" formatCode="0.0%"/>
    </dxf>
    <dxf>
      <numFmt numFmtId="14" formatCode="0.00%"/>
    </dxf>
    <dxf>
      <numFmt numFmtId="3" formatCode="#,##0"/>
    </dxf>
    <dxf>
      <numFmt numFmtId="174" formatCode="0.0%"/>
    </dxf>
    <dxf>
      <numFmt numFmtId="13" formatCode="0%"/>
    </dxf>
    <dxf>
      <numFmt numFmtId="3" formatCode="#,##0"/>
    </dxf>
    <dxf>
      <numFmt numFmtId="13" formatCode="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4" formatCode="0.00%"/>
    </dxf>
    <dxf>
      <numFmt numFmtId="1" formatCode="0"/>
    </dxf>
    <dxf>
      <numFmt numFmtId="1" formatCode="0"/>
    </dxf>
    <dxf>
      <numFmt numFmtId="3" formatCode="#,##0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79" formatCode="0.0"/>
    </dxf>
    <dxf>
      <numFmt numFmtId="1" formatCode="0"/>
    </dxf>
    <dxf>
      <numFmt numFmtId="179" formatCode="0.0"/>
    </dxf>
    <dxf>
      <numFmt numFmtId="1" formatCode="0"/>
    </dxf>
    <dxf>
      <numFmt numFmtId="179" formatCode="0.0"/>
    </dxf>
    <dxf>
      <numFmt numFmtId="1" formatCode="0"/>
    </dxf>
    <dxf>
      <numFmt numFmtId="179" formatCode="0.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80" formatCode="0.000"/>
    </dxf>
    <dxf>
      <numFmt numFmtId="180" formatCode="0.000"/>
    </dxf>
    <dxf>
      <numFmt numFmtId="180" formatCode="0.000"/>
    </dxf>
    <dxf>
      <numFmt numFmtId="180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Aptos Narrow"/>
        <family val="2"/>
        <scheme val="minor"/>
      </font>
      <fill>
        <patternFill patternType="solid">
          <fgColor indexed="65"/>
          <bgColor rgb="FFFFCC99"/>
        </patternFill>
      </fill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Aptos Narrow"/>
        <family val="2"/>
        <scheme val="minor"/>
      </font>
      <fill>
        <patternFill patternType="solid">
          <fgColor indexed="65"/>
          <bgColor rgb="FFFFCC99"/>
        </patternFill>
      </fill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Aptos Narrow"/>
        <family val="2"/>
        <scheme val="minor"/>
      </font>
      <fill>
        <patternFill patternType="solid">
          <fgColor indexed="65"/>
          <bgColor rgb="FFFFCC99"/>
        </patternFill>
      </fill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numFmt numFmtId="1" formatCode="0"/>
    </dxf>
    <dxf>
      <numFmt numFmtId="1" formatCode="0"/>
    </dxf>
    <dxf>
      <numFmt numFmtId="14" formatCode="0.00%"/>
    </dxf>
    <dxf>
      <numFmt numFmtId="3" formatCode="#,##0"/>
    </dxf>
    <dxf>
      <numFmt numFmtId="4" formatCode="#,##0.00"/>
    </dxf>
    <dxf>
      <numFmt numFmtId="14" formatCode="0.00%"/>
    </dxf>
    <dxf>
      <numFmt numFmtId="34" formatCode="_(&quot;$&quot;* #,##0.00_);_(&quot;$&quot;* \(#,##0.00\);_(&quot;$&quot;* &quot;-&quot;??_);_(@_)"/>
    </dxf>
    <dxf>
      <numFmt numFmtId="3" formatCode="#,##0"/>
    </dxf>
    <dxf>
      <numFmt numFmtId="176" formatCode="_(&quot;$&quot;* #,##0_);_(&quot;$&quot;* \(#,##0\);_(&quot;$&quot;* &quot;-&quot;??_);_(@_)"/>
    </dxf>
    <dxf>
      <numFmt numFmtId="14" formatCode="0.00%"/>
    </dxf>
    <dxf>
      <numFmt numFmtId="3" formatCode="#,##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172" formatCode="#,##0.0"/>
    </dxf>
    <dxf>
      <numFmt numFmtId="14" formatCode="0.00%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8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6.xml"/><Relationship Id="rId21" Type="http://schemas.openxmlformats.org/officeDocument/2006/relationships/customXml" Target="../customXml/item1.xml"/><Relationship Id="rId34" Type="http://schemas.openxmlformats.org/officeDocument/2006/relationships/customXml" Target="../customXml/item14.xml"/><Relationship Id="rId7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7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5.xml"/><Relationship Id="rId33" Type="http://schemas.openxmlformats.org/officeDocument/2006/relationships/customXml" Target="../customXml/item13.xml"/><Relationship Id="rId38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29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24" Type="http://schemas.openxmlformats.org/officeDocument/2006/relationships/customXml" Target="../customXml/item4.xml"/><Relationship Id="rId32" Type="http://schemas.openxmlformats.org/officeDocument/2006/relationships/customXml" Target="../customXml/item12.xml"/><Relationship Id="rId37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3.xml"/><Relationship Id="rId28" Type="http://schemas.openxmlformats.org/officeDocument/2006/relationships/customXml" Target="../customXml/item8.xml"/><Relationship Id="rId36" Type="http://schemas.openxmlformats.org/officeDocument/2006/relationships/customXml" Target="../customXml/item16.xml"/><Relationship Id="rId10" Type="http://schemas.openxmlformats.org/officeDocument/2006/relationships/pivotCacheDefinition" Target="pivotCache/pivotCacheDefinition5.xml"/><Relationship Id="rId19" Type="http://schemas.microsoft.com/office/2017/10/relationships/person" Target="persons/person.xml"/><Relationship Id="rId31" Type="http://schemas.openxmlformats.org/officeDocument/2006/relationships/customXml" Target="../customXml/item1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theme" Target="theme/theme1.xml"/><Relationship Id="rId22" Type="http://schemas.openxmlformats.org/officeDocument/2006/relationships/customXml" Target="../customXml/item2.xml"/><Relationship Id="rId27" Type="http://schemas.openxmlformats.org/officeDocument/2006/relationships/customXml" Target="../customXml/item7.xml"/><Relationship Id="rId30" Type="http://schemas.openxmlformats.org/officeDocument/2006/relationships/customXml" Target="../customXml/item10.xml"/><Relationship Id="rId35" Type="http://schemas.openxmlformats.org/officeDocument/2006/relationships/customXml" Target="../customXml/item15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aid kamel" refreshedDate="46277.192878935188" backgroundQuery="1" createdVersion="8" refreshedVersion="8" minRefreshableVersion="3" recordCount="0" supportSubquery="1" supportAdvancedDrill="1" xr:uid="{A9412795-6792-4ED9-BB25-8A102D9F0926}">
  <cacheSource type="external" connectionId="3"/>
  <cacheFields count="0"/>
  <cacheHierarchies count="59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social_media_data].[Post_ID]" caption="Post_ID" attribute="1" defaultMemberUniqueName="[social_media_data].[Post_ID].[All]" allUniqueName="[social_media_data].[Post_ID].[All]" dimensionUniqueName="[social_media_data]" displayFolder="" count="0" memberValueDatatype="130" unbalanced="0"/>
    <cacheHierarchy uniqueName="[social_media_data].[Post_Date]" caption="Post_Date" attribute="1" time="1" defaultMemberUniqueName="[social_media_data].[Post_Date].[All]" allUniqueName="[social_media_data].[Post_Date].[All]" dimensionUniqueName="[social_media_data]" displayFolder="" count="0" memberValueDatatype="7" unbalanced="0"/>
    <cacheHierarchy uniqueName="[social_media_data].[Post_Time]" caption="Post_Time" attribute="1" time="1" defaultMemberUniqueName="[social_media_data].[Post_Time].[All]" allUniqueName="[social_media_data].[Post_Time].[All]" dimensionUniqueName="[social_media_data]" displayFolder="" count="0" memberValueDatatype="7" unbalanced="0"/>
    <cacheHierarchy uniqueName="[social_media_data].[Post_Time_Slot]" caption="Post_Time_Slot" attribute="1" defaultMemberUniqueName="[social_media_data].[Post_Time_Slot].[All]" allUniqueName="[social_media_data].[Post_Time_Slot].[All]" dimensionUniqueName="[social_media_data]" displayFolder="" count="0" memberValueDatatype="130" unbalanced="0"/>
    <cacheHierarchy uniqueName="[social_media_data].[Platform]" caption="Platform" attribute="1" defaultMemberUniqueName="[social_media_data].[Platform].[All]" allUniqueName="[social_media_data].[Platform].[All]" dimensionUniqueName="[social_media_data]" displayFolder="" count="0" memberValueDatatype="130" unbalanced="0"/>
    <cacheHierarchy uniqueName="[social_media_data].[Content_Type]" caption="Content_Type" attribute="1" defaultMemberUniqueName="[social_media_data].[Content_Type].[All]" allUniqueName="[social_media_data].[Content_Type].[All]" dimensionUniqueName="[social_media_data]" displayFolder="" count="0" memberValueDatatype="130" unbalanced="0"/>
    <cacheHierarchy uniqueName="[social_media_data].[Campaign]" caption="Campaign" attribute="1" defaultMemberUniqueName="[social_media_data].[Campaign].[All]" allUniqueName="[social_media_data].[Campaign].[All]" dimensionUniqueName="[social_media_data]" displayFolder="" count="0" memberValueDatatype="130" unbalanced="0"/>
    <cacheHierarchy uniqueName="[social_media_data].[Is_Boosted]" caption="Is_Boosted" attribute="1" defaultMemberUniqueName="[social_media_data].[Is_Boosted].[All]" allUniqueName="[social_media_data].[Is_Boosted].[All]" dimensionUniqueName="[social_media_data]" displayFolder="" count="0" memberValueDatatype="130" unbalanced="0"/>
    <cacheHierarchy uniqueName="[social_media_data].[Has_Link]" caption="Has_Link" attribute="1" defaultMemberUniqueName="[social_media_data].[Has_Link].[All]" allUniqueName="[social_media_data].[Has_Link].[All]" dimensionUniqueName="[social_media_data]" displayFolder="" count="0" memberValueDatatype="130" unbalanced="0"/>
    <cacheHierarchy uniqueName="[social_media_data].[Hashtags_Count]" caption="Hashtags_Count" attribute="1" defaultMemberUniqueName="[social_media_data].[Hashtags_Count].[All]" allUniqueName="[social_media_data].[Hashtags_Count].[All]" dimensionUniqueName="[social_media_data]" displayFolder="" count="0" memberValueDatatype="20" unbalanced="0"/>
    <cacheHierarchy uniqueName="[social_media_data].[Video_Duration_Sec]" caption="Video_Duration_Sec" attribute="1" defaultMemberUniqueName="[social_media_data].[Video_Duration_Sec].[All]" allUniqueName="[social_media_data].[Video_Duration_Sec].[All]" dimensionUniqueName="[social_media_data]" displayFolder="" count="0" memberValueDatatype="20" unbalanced="0"/>
    <cacheHierarchy uniqueName="[social_media_data].[Image_Count]" caption="Image_Count" attribute="1" defaultMemberUniqueName="[social_media_data].[Image_Count].[All]" allUniqueName="[social_media_data].[Image_Count].[All]" dimensionUniqueName="[social_media_data]" displayFolder="" count="0" memberValueDatatype="20" unbalanced="0"/>
    <cacheHierarchy uniqueName="[social_media_data].[Caption_Length]" caption="Caption_Length" attribute="1" defaultMemberUniqueName="[social_media_data].[Caption_Length].[All]" allUniqueName="[social_media_data].[Caption_Length].[All]" dimensionUniqueName="[social_media_data]" displayFolder="" count="0" memberValueDatatype="20" unbalanced="0"/>
    <cacheHierarchy uniqueName="[social_media_data].[Production_Cost]" caption="Production_Cost" attribute="1" defaultMemberUniqueName="[social_media_data].[Production_Cost].[All]" allUniqueName="[social_media_data].[Production_Cost].[All]" dimensionUniqueName="[social_media_data]" displayFolder="" count="0" memberValueDatatype="20" unbalanced="0"/>
    <cacheHierarchy uniqueName="[social_media_data].[Promotion_Budget]" caption="Promotion_Budget" attribute="1" defaultMemberUniqueName="[social_media_data].[Promotion_Budget].[All]" allUniqueName="[social_media_data].[Promotion_Budget].[All]" dimensionUniqueName="[social_media_data]" displayFolder="" count="0" memberValueDatatype="20" unbalanced="0"/>
    <cacheHierarchy uniqueName="[social_media_data].[Reach]" caption="Reach" attribute="1" defaultMemberUniqueName="[social_media_data].[Reach].[All]" allUniqueName="[social_media_data].[Reach].[All]" dimensionUniqueName="[social_media_data]" displayFolder="" count="0" memberValueDatatype="20" unbalanced="0"/>
    <cacheHierarchy uniqueName="[social_media_data].[Frequency]" caption="Frequency" attribute="1" defaultMemberUniqueName="[social_media_data].[Frequency].[All]" allUniqueName="[social_media_data].[Frequency].[All]" dimensionUniqueName="[social_media_data]" displayFolder="" count="0" memberValueDatatype="5" unbalanced="0"/>
    <cacheHierarchy uniqueName="[social_media_data].[Impressions]" caption="Impressions" attribute="1" defaultMemberUniqueName="[social_media_data].[Impressions].[All]" allUniqueName="[social_media_data].[Impressions].[All]" dimensionUniqueName="[social_media_data]" displayFolder="" count="0" memberValueDatatype="20" unbalanced="0"/>
    <cacheHierarchy uniqueName="[social_media_data].[Likes]" caption="Likes" attribute="1" defaultMemberUniqueName="[social_media_data].[Likes].[All]" allUniqueName="[social_media_data].[Likes].[All]" dimensionUniqueName="[social_media_data]" displayFolder="" count="0" memberValueDatatype="20" unbalanced="0"/>
    <cacheHierarchy uniqueName="[social_media_data].[Comments]" caption="Comments" attribute="1" defaultMemberUniqueName="[social_media_data].[Comments].[All]" allUniqueName="[social_media_data].[Comments].[All]" dimensionUniqueName="[social_media_data]" displayFolder="" count="0" memberValueDatatype="20" unbalanced="0"/>
    <cacheHierarchy uniqueName="[social_media_data].[Shares]" caption="Shares" attribute="1" defaultMemberUniqueName="[social_media_data].[Shares].[All]" allUniqueName="[social_media_data].[Shares].[All]" dimensionUniqueName="[social_media_data]" displayFolder="" count="0" memberValueDatatype="20" unbalanced="0"/>
    <cacheHierarchy uniqueName="[social_media_data].[Saves]" caption="Saves" attribute="1" defaultMemberUniqueName="[social_media_data].[Saves].[All]" allUniqueName="[social_media_data].[Saves].[All]" dimensionUniqueName="[social_media_data]" displayFolder="" count="0" memberValueDatatype="20" unbalanced="0"/>
    <cacheHierarchy uniqueName="[social_media_data].[Link_Clicks]" caption="Link_Clicks" attribute="1" defaultMemberUniqueName="[social_media_data].[Link_Clicks].[All]" allUniqueName="[social_media_data].[Link_Clicks].[All]" dimensionUniqueName="[social_media_data]" displayFolder="" count="0" memberValueDatatype="20" unbalanced="0"/>
    <cacheHierarchy uniqueName="[social_media_data].[Followers_Gained]" caption="Followers_Gained" attribute="1" defaultMemberUniqueName="[social_media_data].[Followers_Gained].[All]" allUniqueName="[social_media_data].[Followers_Gained].[All]" dimensionUniqueName="[social_media_data]" displayFolder="" count="0" memberValueDatatype="20" unbalanced="0"/>
    <cacheHierarchy uniqueName="[social_media_data].[Caption_Length_Bucket]" caption="Caption_Length_Bucket" attribute="1" defaultMemberUniqueName="[social_media_data].[Caption_Length_Bucket].[All]" allUniqueName="[social_media_data].[Caption_Length_Bucket].[All]" dimensionUniqueName="[social_media_data]" displayFolder="" count="0" memberValueDatatype="130" unbalanced="0"/>
    <cacheHierarchy uniqueName="[social_media_data].[Engagements]" caption="Engagements" attribute="1" defaultMemberUniqueName="[social_media_data].[Engagements].[All]" allUniqueName="[social_media_data].[Engagements].[All]" dimensionUniqueName="[social_media_data]" displayFolder="" count="0" memberValueDatatype="20" unbalanced="0"/>
    <cacheHierarchy uniqueName="[social_media_data].[Is_Viral]" caption="Is_Viral" attribute="1" defaultMemberUniqueName="[social_media_data].[Is_Viral].[All]" allUniqueName="[social_media_data].[Is_Viral].[All]" dimensionUniqueName="[social_media_data]" displayFolder="" count="0" memberValueDatatype="130" unbalanced="0"/>
    <cacheHierarchy uniqueName="[Measures].[Total Engagement]" caption="Total Engagement" measure="1" displayFolder="" measureGroup="social_media_data" count="0"/>
    <cacheHierarchy uniqueName="[Measures].[Total Impressions]" caption="Total Impressions" measure="1" displayFolder="" measureGroup="social_media_data" count="0"/>
    <cacheHierarchy uniqueName="[Measures].[Total Reach]" caption="Total Reach" measure="1" displayFolder="" measureGroup="social_media_data" count="0"/>
    <cacheHierarchy uniqueName="[Measures].[Engagement Rate]" caption="Engagement Rate" measure="1" displayFolder="" measureGroup="social_media_data" count="0"/>
    <cacheHierarchy uniqueName="[Measures].[Total Cost]" caption="Total Cost" measure="1" displayFolder="" measureGroup="social_media_data" count="0"/>
    <cacheHierarchy uniqueName="[Measures].[Average Engagement]" caption="Average Engagement" measure="1" displayFolder="" measureGroup="social_media_data" count="0"/>
    <cacheHierarchy uniqueName="[Measures].[Total Posts]" caption="Total Posts" measure="1" displayFolder="" measureGroup="social_media_data" count="0"/>
    <cacheHierarchy uniqueName="[Measures].[Likes %]" caption="Likes %" measure="1" displayFolder="" measureGroup="social_media_data" count="0"/>
    <cacheHierarchy uniqueName="[Measures].[Comment %]" caption="Comment %" measure="1" displayFolder="" measureGroup="social_media_data" count="0"/>
    <cacheHierarchy uniqueName="[Measures].[Shares %]" caption="Shares %" measure="1" displayFolder="" measureGroup="social_media_data" count="0"/>
    <cacheHierarchy uniqueName="[Measures].[Saves %]" caption="Saves %" measure="1" displayFolder="" measureGroup="social_media_data" count="0"/>
    <cacheHierarchy uniqueName="[Measures].[Engagement Quality Score]" caption="Engagement Quality Score" measure="1" displayFolder="" measureGroup="social_media_data" count="0"/>
    <cacheHierarchy uniqueName="[Measures].[Total Followers]" caption="Total Followers" measure="1" displayFolder="" measureGroup="social_media_data" count="0"/>
    <cacheHierarchy uniqueName="[Measures].[Avg Reach]" caption="Avg Reach" measure="1" displayFolder="" measureGroup="social_media_data" count="0"/>
    <cacheHierarchy uniqueName="[Measures].[Cost Per Engagement]" caption="Cost Per Engagement" measure="1" displayFolder="" measureGroup="social_media_data" count="0"/>
    <cacheHierarchy uniqueName="[Measures].[CPM]" caption="CPM" measure="1" displayFolder="" measureGroup="social_media_data" count="0"/>
    <cacheHierarchy uniqueName="[Measures].[Cost Per Follower]" caption="Cost Per Follower" measure="1" displayFolder="" measureGroup="social_media_data" count="0"/>
    <cacheHierarchy uniqueName="[Measures].[Follower Conversion Rate]" caption="Follower Conversion Rate" measure="1" displayFolder="" measureGroup="social_media_data" count="0"/>
    <cacheHierarchy uniqueName="[Measures].[CTR]" caption="CTR" measure="1" displayFolder="" measureGroup="social_media_data" count="0"/>
    <cacheHierarchy uniqueName="[Measures].[ROI Engagement]" caption="ROI Engagement" measure="1" displayFolder="" measureGroup="social_media_data" count="0"/>
    <cacheHierarchy uniqueName="[Measures].[Campaign Efficiency Index]" caption="Campaign Efficiency Index" measure="1" displayFolder="" measureGroup="social_media_data" count="0"/>
    <cacheHierarchy uniqueName="[Measures].[__XL_Count social_media_data]" caption="__XL_Count social_media_data" measure="1" displayFolder="" measureGroup="social_media_data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social_media_data" uniqueName="[social_media_data]" caption="social_media_data"/>
  </dimensions>
  <measureGroups count="2">
    <measureGroup name="Calendar" caption="Calendar"/>
    <measureGroup name="social_media_data" caption="social_media_data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aid kamel" refreshedDate="46277.192879861112" backgroundQuery="1" createdVersion="8" refreshedVersion="8" minRefreshableVersion="3" recordCount="0" supportSubquery="1" supportAdvancedDrill="1" xr:uid="{FF9D70F4-F682-4C99-8AF0-035E081F2914}">
  <cacheSource type="external" connectionId="3"/>
  <cacheFields count="5">
    <cacheField name="[Measures].[Total Engagement]" caption="Total Engagement" numFmtId="0" hierarchy="35" level="32767"/>
    <cacheField name="[Measures].[Total Impressions]" caption="Total Impressions" numFmtId="0" hierarchy="36" level="32767"/>
    <cacheField name="[Measures].[Total Reach]" caption="Total Reach" numFmtId="0" hierarchy="37" level="32767"/>
    <cacheField name="[Measures].[Total Followers]" caption="Total Followers" numFmtId="0" hierarchy="47" level="32767"/>
    <cacheField name="[Measures].[Total Posts]" caption="Total Posts" numFmtId="0" hierarchy="41" level="32767"/>
  </cacheFields>
  <cacheHierarchies count="59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social_media_data].[Post_ID]" caption="Post_ID" attribute="1" defaultMemberUniqueName="[social_media_data].[Post_ID].[All]" allUniqueName="[social_media_data].[Post_ID].[All]" dimensionUniqueName="[social_media_data]" displayFolder="" count="0" memberValueDatatype="130" unbalanced="0"/>
    <cacheHierarchy uniqueName="[social_media_data].[Post_Date]" caption="Post_Date" attribute="1" time="1" defaultMemberUniqueName="[social_media_data].[Post_Date].[All]" allUniqueName="[social_media_data].[Post_Date].[All]" dimensionUniqueName="[social_media_data]" displayFolder="" count="0" memberValueDatatype="7" unbalanced="0"/>
    <cacheHierarchy uniqueName="[social_media_data].[Post_Time]" caption="Post_Time" attribute="1" time="1" defaultMemberUniqueName="[social_media_data].[Post_Time].[All]" allUniqueName="[social_media_data].[Post_Time].[All]" dimensionUniqueName="[social_media_data]" displayFolder="" count="0" memberValueDatatype="7" unbalanced="0"/>
    <cacheHierarchy uniqueName="[social_media_data].[Post_Time_Slot]" caption="Post_Time_Slot" attribute="1" defaultMemberUniqueName="[social_media_data].[Post_Time_Slot].[All]" allUniqueName="[social_media_data].[Post_Time_Slot].[All]" dimensionUniqueName="[social_media_data]" displayFolder="" count="0" memberValueDatatype="130" unbalanced="0"/>
    <cacheHierarchy uniqueName="[social_media_data].[Platform]" caption="Platform" attribute="1" defaultMemberUniqueName="[social_media_data].[Platform].[All]" allUniqueName="[social_media_data].[Platform].[All]" dimensionUniqueName="[social_media_data]" displayFolder="" count="0" memberValueDatatype="130" unbalanced="0"/>
    <cacheHierarchy uniqueName="[social_media_data].[Content_Type]" caption="Content_Type" attribute="1" defaultMemberUniqueName="[social_media_data].[Content_Type].[All]" allUniqueName="[social_media_data].[Content_Type].[All]" dimensionUniqueName="[social_media_data]" displayFolder="" count="0" memberValueDatatype="130" unbalanced="0"/>
    <cacheHierarchy uniqueName="[social_media_data].[Campaign]" caption="Campaign" attribute="1" defaultMemberUniqueName="[social_media_data].[Campaign].[All]" allUniqueName="[social_media_data].[Campaign].[All]" dimensionUniqueName="[social_media_data]" displayFolder="" count="0" memberValueDatatype="130" unbalanced="0"/>
    <cacheHierarchy uniqueName="[social_media_data].[Is_Boosted]" caption="Is_Boosted" attribute="1" defaultMemberUniqueName="[social_media_data].[Is_Boosted].[All]" allUniqueName="[social_media_data].[Is_Boosted].[All]" dimensionUniqueName="[social_media_data]" displayFolder="" count="0" memberValueDatatype="130" unbalanced="0"/>
    <cacheHierarchy uniqueName="[social_media_data].[Has_Link]" caption="Has_Link" attribute="1" defaultMemberUniqueName="[social_media_data].[Has_Link].[All]" allUniqueName="[social_media_data].[Has_Link].[All]" dimensionUniqueName="[social_media_data]" displayFolder="" count="0" memberValueDatatype="130" unbalanced="0"/>
    <cacheHierarchy uniqueName="[social_media_data].[Hashtags_Count]" caption="Hashtags_Count" attribute="1" defaultMemberUniqueName="[social_media_data].[Hashtags_Count].[All]" allUniqueName="[social_media_data].[Hashtags_Count].[All]" dimensionUniqueName="[social_media_data]" displayFolder="" count="0" memberValueDatatype="20" unbalanced="0"/>
    <cacheHierarchy uniqueName="[social_media_data].[Video_Duration_Sec]" caption="Video_Duration_Sec" attribute="1" defaultMemberUniqueName="[social_media_data].[Video_Duration_Sec].[All]" allUniqueName="[social_media_data].[Video_Duration_Sec].[All]" dimensionUniqueName="[social_media_data]" displayFolder="" count="0" memberValueDatatype="20" unbalanced="0"/>
    <cacheHierarchy uniqueName="[social_media_data].[Image_Count]" caption="Image_Count" attribute="1" defaultMemberUniqueName="[social_media_data].[Image_Count].[All]" allUniqueName="[social_media_data].[Image_Count].[All]" dimensionUniqueName="[social_media_data]" displayFolder="" count="0" memberValueDatatype="20" unbalanced="0"/>
    <cacheHierarchy uniqueName="[social_media_data].[Caption_Length]" caption="Caption_Length" attribute="1" defaultMemberUniqueName="[social_media_data].[Caption_Length].[All]" allUniqueName="[social_media_data].[Caption_Length].[All]" dimensionUniqueName="[social_media_data]" displayFolder="" count="0" memberValueDatatype="20" unbalanced="0"/>
    <cacheHierarchy uniqueName="[social_media_data].[Production_Cost]" caption="Production_Cost" attribute="1" defaultMemberUniqueName="[social_media_data].[Production_Cost].[All]" allUniqueName="[social_media_data].[Production_Cost].[All]" dimensionUniqueName="[social_media_data]" displayFolder="" count="0" memberValueDatatype="20" unbalanced="0"/>
    <cacheHierarchy uniqueName="[social_media_data].[Promotion_Budget]" caption="Promotion_Budget" attribute="1" defaultMemberUniqueName="[social_media_data].[Promotion_Budget].[All]" allUniqueName="[social_media_data].[Promotion_Budget].[All]" dimensionUniqueName="[social_media_data]" displayFolder="" count="0" memberValueDatatype="20" unbalanced="0"/>
    <cacheHierarchy uniqueName="[social_media_data].[Reach]" caption="Reach" attribute="1" defaultMemberUniqueName="[social_media_data].[Reach].[All]" allUniqueName="[social_media_data].[Reach].[All]" dimensionUniqueName="[social_media_data]" displayFolder="" count="0" memberValueDatatype="20" unbalanced="0"/>
    <cacheHierarchy uniqueName="[social_media_data].[Frequency]" caption="Frequency" attribute="1" defaultMemberUniqueName="[social_media_data].[Frequency].[All]" allUniqueName="[social_media_data].[Frequency].[All]" dimensionUniqueName="[social_media_data]" displayFolder="" count="0" memberValueDatatype="5" unbalanced="0"/>
    <cacheHierarchy uniqueName="[social_media_data].[Impressions]" caption="Impressions" attribute="1" defaultMemberUniqueName="[social_media_data].[Impressions].[All]" allUniqueName="[social_media_data].[Impressions].[All]" dimensionUniqueName="[social_media_data]" displayFolder="" count="0" memberValueDatatype="20" unbalanced="0"/>
    <cacheHierarchy uniqueName="[social_media_data].[Likes]" caption="Likes" attribute="1" defaultMemberUniqueName="[social_media_data].[Likes].[All]" allUniqueName="[social_media_data].[Likes].[All]" dimensionUniqueName="[social_media_data]" displayFolder="" count="0" memberValueDatatype="20" unbalanced="0"/>
    <cacheHierarchy uniqueName="[social_media_data].[Comments]" caption="Comments" attribute="1" defaultMemberUniqueName="[social_media_data].[Comments].[All]" allUniqueName="[social_media_data].[Comments].[All]" dimensionUniqueName="[social_media_data]" displayFolder="" count="0" memberValueDatatype="20" unbalanced="0"/>
    <cacheHierarchy uniqueName="[social_media_data].[Shares]" caption="Shares" attribute="1" defaultMemberUniqueName="[social_media_data].[Shares].[All]" allUniqueName="[social_media_data].[Shares].[All]" dimensionUniqueName="[social_media_data]" displayFolder="" count="0" memberValueDatatype="20" unbalanced="0"/>
    <cacheHierarchy uniqueName="[social_media_data].[Saves]" caption="Saves" attribute="1" defaultMemberUniqueName="[social_media_data].[Saves].[All]" allUniqueName="[social_media_data].[Saves].[All]" dimensionUniqueName="[social_media_data]" displayFolder="" count="0" memberValueDatatype="20" unbalanced="0"/>
    <cacheHierarchy uniqueName="[social_media_data].[Link_Clicks]" caption="Link_Clicks" attribute="1" defaultMemberUniqueName="[social_media_data].[Link_Clicks].[All]" allUniqueName="[social_media_data].[Link_Clicks].[All]" dimensionUniqueName="[social_media_data]" displayFolder="" count="0" memberValueDatatype="20" unbalanced="0"/>
    <cacheHierarchy uniqueName="[social_media_data].[Followers_Gained]" caption="Followers_Gained" attribute="1" defaultMemberUniqueName="[social_media_data].[Followers_Gained].[All]" allUniqueName="[social_media_data].[Followers_Gained].[All]" dimensionUniqueName="[social_media_data]" displayFolder="" count="0" memberValueDatatype="20" unbalanced="0"/>
    <cacheHierarchy uniqueName="[social_media_data].[Caption_Length_Bucket]" caption="Caption_Length_Bucket" attribute="1" defaultMemberUniqueName="[social_media_data].[Caption_Length_Bucket].[All]" allUniqueName="[social_media_data].[Caption_Length_Bucket].[All]" dimensionUniqueName="[social_media_data]" displayFolder="" count="0" memberValueDatatype="130" unbalanced="0"/>
    <cacheHierarchy uniqueName="[social_media_data].[Engagements]" caption="Engagements" attribute="1" defaultMemberUniqueName="[social_media_data].[Engagements].[All]" allUniqueName="[social_media_data].[Engagements].[All]" dimensionUniqueName="[social_media_data]" displayFolder="" count="0" memberValueDatatype="20" unbalanced="0"/>
    <cacheHierarchy uniqueName="[social_media_data].[Is_Viral]" caption="Is_Viral" attribute="1" defaultMemberUniqueName="[social_media_data].[Is_Viral].[All]" allUniqueName="[social_media_data].[Is_Viral].[All]" dimensionUniqueName="[social_media_data]" displayFolder="" count="0" memberValueDatatype="130" unbalanced="0"/>
    <cacheHierarchy uniqueName="[Measures].[Total Engagement]" caption="Total Engagement" measure="1" displayFolder="" measureGroup="social_media_data" count="0" oneField="1">
      <fieldsUsage count="1">
        <fieldUsage x="0"/>
      </fieldsUsage>
    </cacheHierarchy>
    <cacheHierarchy uniqueName="[Measures].[Total Impressions]" caption="Total Impressions" measure="1" displayFolder="" measureGroup="social_media_data" count="0" oneField="1">
      <fieldsUsage count="1">
        <fieldUsage x="1"/>
      </fieldsUsage>
    </cacheHierarchy>
    <cacheHierarchy uniqueName="[Measures].[Total Reach]" caption="Total Reach" measure="1" displayFolder="" measureGroup="social_media_data" count="0" oneField="1">
      <fieldsUsage count="1">
        <fieldUsage x="2"/>
      </fieldsUsage>
    </cacheHierarchy>
    <cacheHierarchy uniqueName="[Measures].[Engagement Rate]" caption="Engagement Rate" measure="1" displayFolder="" measureGroup="social_media_data" count="0"/>
    <cacheHierarchy uniqueName="[Measures].[Total Cost]" caption="Total Cost" measure="1" displayFolder="" measureGroup="social_media_data" count="0"/>
    <cacheHierarchy uniqueName="[Measures].[Average Engagement]" caption="Average Engagement" measure="1" displayFolder="" measureGroup="social_media_data" count="0"/>
    <cacheHierarchy uniqueName="[Measures].[Total Posts]" caption="Total Posts" measure="1" displayFolder="" measureGroup="social_media_data" count="0" oneField="1">
      <fieldsUsage count="1">
        <fieldUsage x="4"/>
      </fieldsUsage>
    </cacheHierarchy>
    <cacheHierarchy uniqueName="[Measures].[Likes %]" caption="Likes %" measure="1" displayFolder="" measureGroup="social_media_data" count="0"/>
    <cacheHierarchy uniqueName="[Measures].[Comment %]" caption="Comment %" measure="1" displayFolder="" measureGroup="social_media_data" count="0"/>
    <cacheHierarchy uniqueName="[Measures].[Shares %]" caption="Shares %" measure="1" displayFolder="" measureGroup="social_media_data" count="0"/>
    <cacheHierarchy uniqueName="[Measures].[Saves %]" caption="Saves %" measure="1" displayFolder="" measureGroup="social_media_data" count="0"/>
    <cacheHierarchy uniqueName="[Measures].[Engagement Quality Score]" caption="Engagement Quality Score" measure="1" displayFolder="" measureGroup="social_media_data" count="0"/>
    <cacheHierarchy uniqueName="[Measures].[Total Followers]" caption="Total Followers" measure="1" displayFolder="" measureGroup="social_media_data" count="0" oneField="1">
      <fieldsUsage count="1">
        <fieldUsage x="3"/>
      </fieldsUsage>
    </cacheHierarchy>
    <cacheHierarchy uniqueName="[Measures].[Avg Reach]" caption="Avg Reach" measure="1" displayFolder="" measureGroup="social_media_data" count="0"/>
    <cacheHierarchy uniqueName="[Measures].[Cost Per Engagement]" caption="Cost Per Engagement" measure="1" displayFolder="" measureGroup="social_media_data" count="0"/>
    <cacheHierarchy uniqueName="[Measures].[CPM]" caption="CPM" measure="1" displayFolder="" measureGroup="social_media_data" count="0"/>
    <cacheHierarchy uniqueName="[Measures].[Cost Per Follower]" caption="Cost Per Follower" measure="1" displayFolder="" measureGroup="social_media_data" count="0"/>
    <cacheHierarchy uniqueName="[Measures].[Follower Conversion Rate]" caption="Follower Conversion Rate" measure="1" displayFolder="" measureGroup="social_media_data" count="0"/>
    <cacheHierarchy uniqueName="[Measures].[CTR]" caption="CTR" measure="1" displayFolder="" measureGroup="social_media_data" count="0"/>
    <cacheHierarchy uniqueName="[Measures].[ROI Engagement]" caption="ROI Engagement" measure="1" displayFolder="" measureGroup="social_media_data" count="0"/>
    <cacheHierarchy uniqueName="[Measures].[Campaign Efficiency Index]" caption="Campaign Efficiency Index" measure="1" displayFolder="" measureGroup="social_media_data" count="0"/>
    <cacheHierarchy uniqueName="[Measures].[__XL_Count social_media_data]" caption="__XL_Count social_media_data" measure="1" displayFolder="" measureGroup="social_media_data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social_media_data" uniqueName="[social_media_data]" caption="social_media_data"/>
  </dimensions>
  <measureGroups count="2">
    <measureGroup name="Calendar" caption="Calendar"/>
    <measureGroup name="social_media_data" caption="social_media_data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aid kamel" refreshedDate="46277.19288101852" backgroundQuery="1" createdVersion="8" refreshedVersion="8" minRefreshableVersion="3" recordCount="0" supportSubquery="1" supportAdvancedDrill="1" xr:uid="{1BA6834E-7B9D-4DD2-87C4-B7E81ECA1AD7}">
  <cacheSource type="external" connectionId="3"/>
  <cacheFields count="8">
    <cacheField name="[Measures].[Engagement Rate]" caption="Engagement Rate" numFmtId="0" hierarchy="38" level="32767"/>
    <cacheField name="[Measures].[Average Engagement]" caption="Average Engagement" numFmtId="0" hierarchy="40" level="32767"/>
    <cacheField name="[Measures].[Likes %]" caption="Likes %" numFmtId="0" hierarchy="42" level="32767"/>
    <cacheField name="[Measures].[Comment %]" caption="Comment %" numFmtId="0" hierarchy="43" level="32767"/>
    <cacheField name="[Measures].[Shares %]" caption="Shares %" numFmtId="0" hierarchy="44" level="32767"/>
    <cacheField name="[Measures].[Saves %]" caption="Saves %" numFmtId="0" hierarchy="45" level="32767"/>
    <cacheField name="[Measures].[Follower Conversion Rate]" caption="Follower Conversion Rate" numFmtId="0" hierarchy="52" level="32767"/>
    <cacheField name="[Measures].[Engagement Quality Score]" caption="Engagement Quality Score" numFmtId="0" hierarchy="46" level="32767"/>
  </cacheFields>
  <cacheHierarchies count="59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social_media_data].[Post_ID]" caption="Post_ID" attribute="1" defaultMemberUniqueName="[social_media_data].[Post_ID].[All]" allUniqueName="[social_media_data].[Post_ID].[All]" dimensionUniqueName="[social_media_data]" displayFolder="" count="0" memberValueDatatype="130" unbalanced="0"/>
    <cacheHierarchy uniqueName="[social_media_data].[Post_Date]" caption="Post_Date" attribute="1" time="1" defaultMemberUniqueName="[social_media_data].[Post_Date].[All]" allUniqueName="[social_media_data].[Post_Date].[All]" dimensionUniqueName="[social_media_data]" displayFolder="" count="0" memberValueDatatype="7" unbalanced="0"/>
    <cacheHierarchy uniqueName="[social_media_data].[Post_Time]" caption="Post_Time" attribute="1" time="1" defaultMemberUniqueName="[social_media_data].[Post_Time].[All]" allUniqueName="[social_media_data].[Post_Time].[All]" dimensionUniqueName="[social_media_data]" displayFolder="" count="0" memberValueDatatype="7" unbalanced="0"/>
    <cacheHierarchy uniqueName="[social_media_data].[Post_Time_Slot]" caption="Post_Time_Slot" attribute="1" defaultMemberUniqueName="[social_media_data].[Post_Time_Slot].[All]" allUniqueName="[social_media_data].[Post_Time_Slot].[All]" dimensionUniqueName="[social_media_data]" displayFolder="" count="0" memberValueDatatype="130" unbalanced="0"/>
    <cacheHierarchy uniqueName="[social_media_data].[Platform]" caption="Platform" attribute="1" defaultMemberUniqueName="[social_media_data].[Platform].[All]" allUniqueName="[social_media_data].[Platform].[All]" dimensionUniqueName="[social_media_data]" displayFolder="" count="0" memberValueDatatype="130" unbalanced="0"/>
    <cacheHierarchy uniqueName="[social_media_data].[Content_Type]" caption="Content_Type" attribute="1" defaultMemberUniqueName="[social_media_data].[Content_Type].[All]" allUniqueName="[social_media_data].[Content_Type].[All]" dimensionUniqueName="[social_media_data]" displayFolder="" count="0" memberValueDatatype="130" unbalanced="0"/>
    <cacheHierarchy uniqueName="[social_media_data].[Campaign]" caption="Campaign" attribute="1" defaultMemberUniqueName="[social_media_data].[Campaign].[All]" allUniqueName="[social_media_data].[Campaign].[All]" dimensionUniqueName="[social_media_data]" displayFolder="" count="0" memberValueDatatype="130" unbalanced="0"/>
    <cacheHierarchy uniqueName="[social_media_data].[Is_Boosted]" caption="Is_Boosted" attribute="1" defaultMemberUniqueName="[social_media_data].[Is_Boosted].[All]" allUniqueName="[social_media_data].[Is_Boosted].[All]" dimensionUniqueName="[social_media_data]" displayFolder="" count="0" memberValueDatatype="130" unbalanced="0"/>
    <cacheHierarchy uniqueName="[social_media_data].[Has_Link]" caption="Has_Link" attribute="1" defaultMemberUniqueName="[social_media_data].[Has_Link].[All]" allUniqueName="[social_media_data].[Has_Link].[All]" dimensionUniqueName="[social_media_data]" displayFolder="" count="0" memberValueDatatype="130" unbalanced="0"/>
    <cacheHierarchy uniqueName="[social_media_data].[Hashtags_Count]" caption="Hashtags_Count" attribute="1" defaultMemberUniqueName="[social_media_data].[Hashtags_Count].[All]" allUniqueName="[social_media_data].[Hashtags_Count].[All]" dimensionUniqueName="[social_media_data]" displayFolder="" count="0" memberValueDatatype="20" unbalanced="0"/>
    <cacheHierarchy uniqueName="[social_media_data].[Video_Duration_Sec]" caption="Video_Duration_Sec" attribute="1" defaultMemberUniqueName="[social_media_data].[Video_Duration_Sec].[All]" allUniqueName="[social_media_data].[Video_Duration_Sec].[All]" dimensionUniqueName="[social_media_data]" displayFolder="" count="0" memberValueDatatype="20" unbalanced="0"/>
    <cacheHierarchy uniqueName="[social_media_data].[Image_Count]" caption="Image_Count" attribute="1" defaultMemberUniqueName="[social_media_data].[Image_Count].[All]" allUniqueName="[social_media_data].[Image_Count].[All]" dimensionUniqueName="[social_media_data]" displayFolder="" count="0" memberValueDatatype="20" unbalanced="0"/>
    <cacheHierarchy uniqueName="[social_media_data].[Caption_Length]" caption="Caption_Length" attribute="1" defaultMemberUniqueName="[social_media_data].[Caption_Length].[All]" allUniqueName="[social_media_data].[Caption_Length].[All]" dimensionUniqueName="[social_media_data]" displayFolder="" count="0" memberValueDatatype="20" unbalanced="0"/>
    <cacheHierarchy uniqueName="[social_media_data].[Production_Cost]" caption="Production_Cost" attribute="1" defaultMemberUniqueName="[social_media_data].[Production_Cost].[All]" allUniqueName="[social_media_data].[Production_Cost].[All]" dimensionUniqueName="[social_media_data]" displayFolder="" count="0" memberValueDatatype="20" unbalanced="0"/>
    <cacheHierarchy uniqueName="[social_media_data].[Promotion_Budget]" caption="Promotion_Budget" attribute="1" defaultMemberUniqueName="[social_media_data].[Promotion_Budget].[All]" allUniqueName="[social_media_data].[Promotion_Budget].[All]" dimensionUniqueName="[social_media_data]" displayFolder="" count="0" memberValueDatatype="20" unbalanced="0"/>
    <cacheHierarchy uniqueName="[social_media_data].[Reach]" caption="Reach" attribute="1" defaultMemberUniqueName="[social_media_data].[Reach].[All]" allUniqueName="[social_media_data].[Reach].[All]" dimensionUniqueName="[social_media_data]" displayFolder="" count="0" memberValueDatatype="20" unbalanced="0"/>
    <cacheHierarchy uniqueName="[social_media_data].[Frequency]" caption="Frequency" attribute="1" defaultMemberUniqueName="[social_media_data].[Frequency].[All]" allUniqueName="[social_media_data].[Frequency].[All]" dimensionUniqueName="[social_media_data]" displayFolder="" count="0" memberValueDatatype="5" unbalanced="0"/>
    <cacheHierarchy uniqueName="[social_media_data].[Impressions]" caption="Impressions" attribute="1" defaultMemberUniqueName="[social_media_data].[Impressions].[All]" allUniqueName="[social_media_data].[Impressions].[All]" dimensionUniqueName="[social_media_data]" displayFolder="" count="0" memberValueDatatype="20" unbalanced="0"/>
    <cacheHierarchy uniqueName="[social_media_data].[Likes]" caption="Likes" attribute="1" defaultMemberUniqueName="[social_media_data].[Likes].[All]" allUniqueName="[social_media_data].[Likes].[All]" dimensionUniqueName="[social_media_data]" displayFolder="" count="0" memberValueDatatype="20" unbalanced="0"/>
    <cacheHierarchy uniqueName="[social_media_data].[Comments]" caption="Comments" attribute="1" defaultMemberUniqueName="[social_media_data].[Comments].[All]" allUniqueName="[social_media_data].[Comments].[All]" dimensionUniqueName="[social_media_data]" displayFolder="" count="0" memberValueDatatype="20" unbalanced="0"/>
    <cacheHierarchy uniqueName="[social_media_data].[Shares]" caption="Shares" attribute="1" defaultMemberUniqueName="[social_media_data].[Shares].[All]" allUniqueName="[social_media_data].[Shares].[All]" dimensionUniqueName="[social_media_data]" displayFolder="" count="0" memberValueDatatype="20" unbalanced="0"/>
    <cacheHierarchy uniqueName="[social_media_data].[Saves]" caption="Saves" attribute="1" defaultMemberUniqueName="[social_media_data].[Saves].[All]" allUniqueName="[social_media_data].[Saves].[All]" dimensionUniqueName="[social_media_data]" displayFolder="" count="0" memberValueDatatype="20" unbalanced="0"/>
    <cacheHierarchy uniqueName="[social_media_data].[Link_Clicks]" caption="Link_Clicks" attribute="1" defaultMemberUniqueName="[social_media_data].[Link_Clicks].[All]" allUniqueName="[social_media_data].[Link_Clicks].[All]" dimensionUniqueName="[social_media_data]" displayFolder="" count="0" memberValueDatatype="20" unbalanced="0"/>
    <cacheHierarchy uniqueName="[social_media_data].[Followers_Gained]" caption="Followers_Gained" attribute="1" defaultMemberUniqueName="[social_media_data].[Followers_Gained].[All]" allUniqueName="[social_media_data].[Followers_Gained].[All]" dimensionUniqueName="[social_media_data]" displayFolder="" count="0" memberValueDatatype="20" unbalanced="0"/>
    <cacheHierarchy uniqueName="[social_media_data].[Caption_Length_Bucket]" caption="Caption_Length_Bucket" attribute="1" defaultMemberUniqueName="[social_media_data].[Caption_Length_Bucket].[All]" allUniqueName="[social_media_data].[Caption_Length_Bucket].[All]" dimensionUniqueName="[social_media_data]" displayFolder="" count="0" memberValueDatatype="130" unbalanced="0"/>
    <cacheHierarchy uniqueName="[social_media_data].[Engagements]" caption="Engagements" attribute="1" defaultMemberUniqueName="[social_media_data].[Engagements].[All]" allUniqueName="[social_media_data].[Engagements].[All]" dimensionUniqueName="[social_media_data]" displayFolder="" count="0" memberValueDatatype="20" unbalanced="0"/>
    <cacheHierarchy uniqueName="[social_media_data].[Is_Viral]" caption="Is_Viral" attribute="1" defaultMemberUniqueName="[social_media_data].[Is_Viral].[All]" allUniqueName="[social_media_data].[Is_Viral].[All]" dimensionUniqueName="[social_media_data]" displayFolder="" count="0" memberValueDatatype="130" unbalanced="0"/>
    <cacheHierarchy uniqueName="[Measures].[Total Engagement]" caption="Total Engagement" measure="1" displayFolder="" measureGroup="social_media_data" count="0"/>
    <cacheHierarchy uniqueName="[Measures].[Total Impressions]" caption="Total Impressions" measure="1" displayFolder="" measureGroup="social_media_data" count="0"/>
    <cacheHierarchy uniqueName="[Measures].[Total Reach]" caption="Total Reach" measure="1" displayFolder="" measureGroup="social_media_data" count="0"/>
    <cacheHierarchy uniqueName="[Measures].[Engagement Rate]" caption="Engagement Rate" measure="1" displayFolder="" measureGroup="social_media_data" count="0" oneField="1">
      <fieldsUsage count="1">
        <fieldUsage x="0"/>
      </fieldsUsage>
    </cacheHierarchy>
    <cacheHierarchy uniqueName="[Measures].[Total Cost]" caption="Total Cost" measure="1" displayFolder="" measureGroup="social_media_data" count="0"/>
    <cacheHierarchy uniqueName="[Measures].[Average Engagement]" caption="Average Engagement" measure="1" displayFolder="" measureGroup="social_media_data" count="0" oneField="1">
      <fieldsUsage count="1">
        <fieldUsage x="1"/>
      </fieldsUsage>
    </cacheHierarchy>
    <cacheHierarchy uniqueName="[Measures].[Total Posts]" caption="Total Posts" measure="1" displayFolder="" measureGroup="social_media_data" count="0"/>
    <cacheHierarchy uniqueName="[Measures].[Likes %]" caption="Likes %" measure="1" displayFolder="" measureGroup="social_media_data" count="0" oneField="1">
      <fieldsUsage count="1">
        <fieldUsage x="2"/>
      </fieldsUsage>
    </cacheHierarchy>
    <cacheHierarchy uniqueName="[Measures].[Comment %]" caption="Comment %" measure="1" displayFolder="" measureGroup="social_media_data" count="0" oneField="1">
      <fieldsUsage count="1">
        <fieldUsage x="3"/>
      </fieldsUsage>
    </cacheHierarchy>
    <cacheHierarchy uniqueName="[Measures].[Shares %]" caption="Shares %" measure="1" displayFolder="" measureGroup="social_media_data" count="0" oneField="1">
      <fieldsUsage count="1">
        <fieldUsage x="4"/>
      </fieldsUsage>
    </cacheHierarchy>
    <cacheHierarchy uniqueName="[Measures].[Saves %]" caption="Saves %" measure="1" displayFolder="" measureGroup="social_media_data" count="0" oneField="1">
      <fieldsUsage count="1">
        <fieldUsage x="5"/>
      </fieldsUsage>
    </cacheHierarchy>
    <cacheHierarchy uniqueName="[Measures].[Engagement Quality Score]" caption="Engagement Quality Score" measure="1" displayFolder="" measureGroup="social_media_data" count="0" oneField="1">
      <fieldsUsage count="1">
        <fieldUsage x="7"/>
      </fieldsUsage>
    </cacheHierarchy>
    <cacheHierarchy uniqueName="[Measures].[Total Followers]" caption="Total Followers" measure="1" displayFolder="" measureGroup="social_media_data" count="0"/>
    <cacheHierarchy uniqueName="[Measures].[Avg Reach]" caption="Avg Reach" measure="1" displayFolder="" measureGroup="social_media_data" count="0"/>
    <cacheHierarchy uniqueName="[Measures].[Cost Per Engagement]" caption="Cost Per Engagement" measure="1" displayFolder="" measureGroup="social_media_data" count="0"/>
    <cacheHierarchy uniqueName="[Measures].[CPM]" caption="CPM" measure="1" displayFolder="" measureGroup="social_media_data" count="0"/>
    <cacheHierarchy uniqueName="[Measures].[Cost Per Follower]" caption="Cost Per Follower" measure="1" displayFolder="" measureGroup="social_media_data" count="0"/>
    <cacheHierarchy uniqueName="[Measures].[Follower Conversion Rate]" caption="Follower Conversion Rate" measure="1" displayFolder="" measureGroup="social_media_data" count="0" oneField="1">
      <fieldsUsage count="1">
        <fieldUsage x="6"/>
      </fieldsUsage>
    </cacheHierarchy>
    <cacheHierarchy uniqueName="[Measures].[CTR]" caption="CTR" measure="1" displayFolder="" measureGroup="social_media_data" count="0"/>
    <cacheHierarchy uniqueName="[Measures].[ROI Engagement]" caption="ROI Engagement" measure="1" displayFolder="" measureGroup="social_media_data" count="0"/>
    <cacheHierarchy uniqueName="[Measures].[Campaign Efficiency Index]" caption="Campaign Efficiency Index" measure="1" displayFolder="" measureGroup="social_media_data" count="0"/>
    <cacheHierarchy uniqueName="[Measures].[__XL_Count social_media_data]" caption="__XL_Count social_media_data" measure="1" displayFolder="" measureGroup="social_media_data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social_media_data" uniqueName="[social_media_data]" caption="social_media_data"/>
  </dimensions>
  <measureGroups count="2">
    <measureGroup name="Calendar" caption="Calendar"/>
    <measureGroup name="social_media_data" caption="social_media_data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aid kamel" refreshedDate="46277.193297106482" backgroundQuery="1" createdVersion="8" refreshedVersion="8" minRefreshableVersion="3" recordCount="0" supportSubquery="1" supportAdvancedDrill="1" xr:uid="{3A030E62-48FD-4B03-A85C-3A3D4AB798AC}">
  <cacheSource type="external" connectionId="3"/>
  <cacheFields count="6">
    <cacheField name="[Measures].[Total Cost]" caption="Total Cost" numFmtId="0" hierarchy="39" level="32767"/>
    <cacheField name="[Measures].[Cost Per Engagement]" caption="Cost Per Engagement" numFmtId="0" hierarchy="49" level="32767"/>
    <cacheField name="[Measures].[CPM]" caption="CPM" numFmtId="0" hierarchy="50" level="32767"/>
    <cacheField name="[Measures].[Cost Per Follower]" caption="Cost Per Follower" numFmtId="0" hierarchy="51" level="32767"/>
    <cacheField name="[Measures].[CTR]" caption="CTR" numFmtId="0" hierarchy="53" level="32767"/>
    <cacheField name="[Measures].[ROI Engagement]" caption="ROI Engagement" numFmtId="0" hierarchy="54" level="32767"/>
  </cacheFields>
  <cacheHierarchies count="59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social_media_data].[Post_ID]" caption="Post_ID" attribute="1" defaultMemberUniqueName="[social_media_data].[Post_ID].[All]" allUniqueName="[social_media_data].[Post_ID].[All]" dimensionUniqueName="[social_media_data]" displayFolder="" count="0" memberValueDatatype="130" unbalanced="0"/>
    <cacheHierarchy uniqueName="[social_media_data].[Post_Date]" caption="Post_Date" attribute="1" time="1" defaultMemberUniqueName="[social_media_data].[Post_Date].[All]" allUniqueName="[social_media_data].[Post_Date].[All]" dimensionUniqueName="[social_media_data]" displayFolder="" count="0" memberValueDatatype="7" unbalanced="0"/>
    <cacheHierarchy uniqueName="[social_media_data].[Post_Time]" caption="Post_Time" attribute="1" time="1" defaultMemberUniqueName="[social_media_data].[Post_Time].[All]" allUniqueName="[social_media_data].[Post_Time].[All]" dimensionUniqueName="[social_media_data]" displayFolder="" count="0" memberValueDatatype="7" unbalanced="0"/>
    <cacheHierarchy uniqueName="[social_media_data].[Post_Time_Slot]" caption="Post_Time_Slot" attribute="1" defaultMemberUniqueName="[social_media_data].[Post_Time_Slot].[All]" allUniqueName="[social_media_data].[Post_Time_Slot].[All]" dimensionUniqueName="[social_media_data]" displayFolder="" count="0" memberValueDatatype="130" unbalanced="0"/>
    <cacheHierarchy uniqueName="[social_media_data].[Platform]" caption="Platform" attribute="1" defaultMemberUniqueName="[social_media_data].[Platform].[All]" allUniqueName="[social_media_data].[Platform].[All]" dimensionUniqueName="[social_media_data]" displayFolder="" count="0" memberValueDatatype="130" unbalanced="0"/>
    <cacheHierarchy uniqueName="[social_media_data].[Content_Type]" caption="Content_Type" attribute="1" defaultMemberUniqueName="[social_media_data].[Content_Type].[All]" allUniqueName="[social_media_data].[Content_Type].[All]" dimensionUniqueName="[social_media_data]" displayFolder="" count="0" memberValueDatatype="130" unbalanced="0"/>
    <cacheHierarchy uniqueName="[social_media_data].[Campaign]" caption="Campaign" attribute="1" defaultMemberUniqueName="[social_media_data].[Campaign].[All]" allUniqueName="[social_media_data].[Campaign].[All]" dimensionUniqueName="[social_media_data]" displayFolder="" count="0" memberValueDatatype="130" unbalanced="0"/>
    <cacheHierarchy uniqueName="[social_media_data].[Is_Boosted]" caption="Is_Boosted" attribute="1" defaultMemberUniqueName="[social_media_data].[Is_Boosted].[All]" allUniqueName="[social_media_data].[Is_Boosted].[All]" dimensionUniqueName="[social_media_data]" displayFolder="" count="0" memberValueDatatype="130" unbalanced="0"/>
    <cacheHierarchy uniqueName="[social_media_data].[Has_Link]" caption="Has_Link" attribute="1" defaultMemberUniqueName="[social_media_data].[Has_Link].[All]" allUniqueName="[social_media_data].[Has_Link].[All]" dimensionUniqueName="[social_media_data]" displayFolder="" count="0" memberValueDatatype="130" unbalanced="0"/>
    <cacheHierarchy uniqueName="[social_media_data].[Hashtags_Count]" caption="Hashtags_Count" attribute="1" defaultMemberUniqueName="[social_media_data].[Hashtags_Count].[All]" allUniqueName="[social_media_data].[Hashtags_Count].[All]" dimensionUniqueName="[social_media_data]" displayFolder="" count="0" memberValueDatatype="20" unbalanced="0"/>
    <cacheHierarchy uniqueName="[social_media_data].[Video_Duration_Sec]" caption="Video_Duration_Sec" attribute="1" defaultMemberUniqueName="[social_media_data].[Video_Duration_Sec].[All]" allUniqueName="[social_media_data].[Video_Duration_Sec].[All]" dimensionUniqueName="[social_media_data]" displayFolder="" count="0" memberValueDatatype="20" unbalanced="0"/>
    <cacheHierarchy uniqueName="[social_media_data].[Image_Count]" caption="Image_Count" attribute="1" defaultMemberUniqueName="[social_media_data].[Image_Count].[All]" allUniqueName="[social_media_data].[Image_Count].[All]" dimensionUniqueName="[social_media_data]" displayFolder="" count="0" memberValueDatatype="20" unbalanced="0"/>
    <cacheHierarchy uniqueName="[social_media_data].[Caption_Length]" caption="Caption_Length" attribute="1" defaultMemberUniqueName="[social_media_data].[Caption_Length].[All]" allUniqueName="[social_media_data].[Caption_Length].[All]" dimensionUniqueName="[social_media_data]" displayFolder="" count="0" memberValueDatatype="20" unbalanced="0"/>
    <cacheHierarchy uniqueName="[social_media_data].[Production_Cost]" caption="Production_Cost" attribute="1" defaultMemberUniqueName="[social_media_data].[Production_Cost].[All]" allUniqueName="[social_media_data].[Production_Cost].[All]" dimensionUniqueName="[social_media_data]" displayFolder="" count="0" memberValueDatatype="20" unbalanced="0"/>
    <cacheHierarchy uniqueName="[social_media_data].[Promotion_Budget]" caption="Promotion_Budget" attribute="1" defaultMemberUniqueName="[social_media_data].[Promotion_Budget].[All]" allUniqueName="[social_media_data].[Promotion_Budget].[All]" dimensionUniqueName="[social_media_data]" displayFolder="" count="0" memberValueDatatype="20" unbalanced="0"/>
    <cacheHierarchy uniqueName="[social_media_data].[Reach]" caption="Reach" attribute="1" defaultMemberUniqueName="[social_media_data].[Reach].[All]" allUniqueName="[social_media_data].[Reach].[All]" dimensionUniqueName="[social_media_data]" displayFolder="" count="0" memberValueDatatype="20" unbalanced="0"/>
    <cacheHierarchy uniqueName="[social_media_data].[Frequency]" caption="Frequency" attribute="1" defaultMemberUniqueName="[social_media_data].[Frequency].[All]" allUniqueName="[social_media_data].[Frequency].[All]" dimensionUniqueName="[social_media_data]" displayFolder="" count="0" memberValueDatatype="5" unbalanced="0"/>
    <cacheHierarchy uniqueName="[social_media_data].[Impressions]" caption="Impressions" attribute="1" defaultMemberUniqueName="[social_media_data].[Impressions].[All]" allUniqueName="[social_media_data].[Impressions].[All]" dimensionUniqueName="[social_media_data]" displayFolder="" count="0" memberValueDatatype="20" unbalanced="0"/>
    <cacheHierarchy uniqueName="[social_media_data].[Likes]" caption="Likes" attribute="1" defaultMemberUniqueName="[social_media_data].[Likes].[All]" allUniqueName="[social_media_data].[Likes].[All]" dimensionUniqueName="[social_media_data]" displayFolder="" count="0" memberValueDatatype="20" unbalanced="0"/>
    <cacheHierarchy uniqueName="[social_media_data].[Comments]" caption="Comments" attribute="1" defaultMemberUniqueName="[social_media_data].[Comments].[All]" allUniqueName="[social_media_data].[Comments].[All]" dimensionUniqueName="[social_media_data]" displayFolder="" count="0" memberValueDatatype="20" unbalanced="0"/>
    <cacheHierarchy uniqueName="[social_media_data].[Shares]" caption="Shares" attribute="1" defaultMemberUniqueName="[social_media_data].[Shares].[All]" allUniqueName="[social_media_data].[Shares].[All]" dimensionUniqueName="[social_media_data]" displayFolder="" count="0" memberValueDatatype="20" unbalanced="0"/>
    <cacheHierarchy uniqueName="[social_media_data].[Saves]" caption="Saves" attribute="1" defaultMemberUniqueName="[social_media_data].[Saves].[All]" allUniqueName="[social_media_data].[Saves].[All]" dimensionUniqueName="[social_media_data]" displayFolder="" count="0" memberValueDatatype="20" unbalanced="0"/>
    <cacheHierarchy uniqueName="[social_media_data].[Link_Clicks]" caption="Link_Clicks" attribute="1" defaultMemberUniqueName="[social_media_data].[Link_Clicks].[All]" allUniqueName="[social_media_data].[Link_Clicks].[All]" dimensionUniqueName="[social_media_data]" displayFolder="" count="0" memberValueDatatype="20" unbalanced="0"/>
    <cacheHierarchy uniqueName="[social_media_data].[Followers_Gained]" caption="Followers_Gained" attribute="1" defaultMemberUniqueName="[social_media_data].[Followers_Gained].[All]" allUniqueName="[social_media_data].[Followers_Gained].[All]" dimensionUniqueName="[social_media_data]" displayFolder="" count="0" memberValueDatatype="20" unbalanced="0"/>
    <cacheHierarchy uniqueName="[social_media_data].[Caption_Length_Bucket]" caption="Caption_Length_Bucket" attribute="1" defaultMemberUniqueName="[social_media_data].[Caption_Length_Bucket].[All]" allUniqueName="[social_media_data].[Caption_Length_Bucket].[All]" dimensionUniqueName="[social_media_data]" displayFolder="" count="0" memberValueDatatype="130" unbalanced="0"/>
    <cacheHierarchy uniqueName="[social_media_data].[Engagements]" caption="Engagements" attribute="1" defaultMemberUniqueName="[social_media_data].[Engagements].[All]" allUniqueName="[social_media_data].[Engagements].[All]" dimensionUniqueName="[social_media_data]" displayFolder="" count="0" memberValueDatatype="20" unbalanced="0"/>
    <cacheHierarchy uniqueName="[social_media_data].[Is_Viral]" caption="Is_Viral" attribute="1" defaultMemberUniqueName="[social_media_data].[Is_Viral].[All]" allUniqueName="[social_media_data].[Is_Viral].[All]" dimensionUniqueName="[social_media_data]" displayFolder="" count="0" memberValueDatatype="130" unbalanced="0"/>
    <cacheHierarchy uniqueName="[Measures].[Total Engagement]" caption="Total Engagement" measure="1" displayFolder="" measureGroup="social_media_data" count="0"/>
    <cacheHierarchy uniqueName="[Measures].[Total Impressions]" caption="Total Impressions" measure="1" displayFolder="" measureGroup="social_media_data" count="0"/>
    <cacheHierarchy uniqueName="[Measures].[Total Reach]" caption="Total Reach" measure="1" displayFolder="" measureGroup="social_media_data" count="0"/>
    <cacheHierarchy uniqueName="[Measures].[Engagement Rate]" caption="Engagement Rate" measure="1" displayFolder="" measureGroup="social_media_data" count="0"/>
    <cacheHierarchy uniqueName="[Measures].[Total Cost]" caption="Total Cost" measure="1" displayFolder="" measureGroup="social_media_data" count="0" oneField="1">
      <fieldsUsage count="1">
        <fieldUsage x="0"/>
      </fieldsUsage>
    </cacheHierarchy>
    <cacheHierarchy uniqueName="[Measures].[Average Engagement]" caption="Average Engagement" measure="1" displayFolder="" measureGroup="social_media_data" count="0"/>
    <cacheHierarchy uniqueName="[Measures].[Total Posts]" caption="Total Posts" measure="1" displayFolder="" measureGroup="social_media_data" count="0"/>
    <cacheHierarchy uniqueName="[Measures].[Likes %]" caption="Likes %" measure="1" displayFolder="" measureGroup="social_media_data" count="0"/>
    <cacheHierarchy uniqueName="[Measures].[Comment %]" caption="Comment %" measure="1" displayFolder="" measureGroup="social_media_data" count="0"/>
    <cacheHierarchy uniqueName="[Measures].[Shares %]" caption="Shares %" measure="1" displayFolder="" measureGroup="social_media_data" count="0"/>
    <cacheHierarchy uniqueName="[Measures].[Saves %]" caption="Saves %" measure="1" displayFolder="" measureGroup="social_media_data" count="0"/>
    <cacheHierarchy uniqueName="[Measures].[Engagement Quality Score]" caption="Engagement Quality Score" measure="1" displayFolder="" measureGroup="social_media_data" count="0"/>
    <cacheHierarchy uniqueName="[Measures].[Total Followers]" caption="Total Followers" measure="1" displayFolder="" measureGroup="social_media_data" count="0"/>
    <cacheHierarchy uniqueName="[Measures].[Avg Reach]" caption="Avg Reach" measure="1" displayFolder="" measureGroup="social_media_data" count="0"/>
    <cacheHierarchy uniqueName="[Measures].[Cost Per Engagement]" caption="Cost Per Engagement" measure="1" displayFolder="" measureGroup="social_media_data" count="0" oneField="1">
      <fieldsUsage count="1">
        <fieldUsage x="1"/>
      </fieldsUsage>
    </cacheHierarchy>
    <cacheHierarchy uniqueName="[Measures].[CPM]" caption="CPM" measure="1" displayFolder="" measureGroup="social_media_data" count="0" oneField="1">
      <fieldsUsage count="1">
        <fieldUsage x="2"/>
      </fieldsUsage>
    </cacheHierarchy>
    <cacheHierarchy uniqueName="[Measures].[Cost Per Follower]" caption="Cost Per Follower" measure="1" displayFolder="" measureGroup="social_media_data" count="0" oneField="1">
      <fieldsUsage count="1">
        <fieldUsage x="3"/>
      </fieldsUsage>
    </cacheHierarchy>
    <cacheHierarchy uniqueName="[Measures].[Follower Conversion Rate]" caption="Follower Conversion Rate" measure="1" displayFolder="" measureGroup="social_media_data" count="0"/>
    <cacheHierarchy uniqueName="[Measures].[CTR]" caption="CTR" measure="1" displayFolder="" measureGroup="social_media_data" count="0" oneField="1">
      <fieldsUsage count="1">
        <fieldUsage x="4"/>
      </fieldsUsage>
    </cacheHierarchy>
    <cacheHierarchy uniqueName="[Measures].[ROI Engagement]" caption="ROI Engagement" measure="1" displayFolder="" measureGroup="social_media_data" count="0" oneField="1">
      <fieldsUsage count="1">
        <fieldUsage x="5"/>
      </fieldsUsage>
    </cacheHierarchy>
    <cacheHierarchy uniqueName="[Measures].[Campaign Efficiency Index]" caption="Campaign Efficiency Index" measure="1" displayFolder="" measureGroup="social_media_data" count="0"/>
    <cacheHierarchy uniqueName="[Measures].[__XL_Count social_media_data]" caption="__XL_Count social_media_data" measure="1" displayFolder="" measureGroup="social_media_data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social_media_data" uniqueName="[social_media_data]" caption="social_media_data"/>
  </dimensions>
  <measureGroups count="2">
    <measureGroup name="Calendar" caption="Calendar"/>
    <measureGroup name="social_media_data" caption="social_media_data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aid kamel" refreshedDate="46277.205879166664" backgroundQuery="1" createdVersion="8" refreshedVersion="8" minRefreshableVersion="3" recordCount="0" supportSubquery="1" supportAdvancedDrill="1" xr:uid="{81D1B9E8-12DD-4D53-B4CB-3035E4D6783C}">
  <cacheSource type="external" connectionId="3"/>
  <cacheFields count="3">
    <cacheField name="[social_media_data].[Platform].[Platform]" caption="Platform" numFmtId="0" hierarchy="12" level="1">
      <sharedItems count="4">
        <s v="Facebook"/>
        <s v="Instagram"/>
        <s v="TikTok"/>
        <s v="Twitter/X"/>
      </sharedItems>
    </cacheField>
    <cacheField name="[Measures].[Engagement Rate]" caption="Engagement Rate" numFmtId="0" hierarchy="38" level="32767"/>
    <cacheField name="[Measures].[Total Posts]" caption="Total Posts" numFmtId="0" hierarchy="41" level="32767"/>
  </cacheFields>
  <cacheHierarchies count="59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social_media_data].[Post_ID]" caption="Post_ID" attribute="1" defaultMemberUniqueName="[social_media_data].[Post_ID].[All]" allUniqueName="[social_media_data].[Post_ID].[All]" dimensionUniqueName="[social_media_data]" displayFolder="" count="0" memberValueDatatype="130" unbalanced="0"/>
    <cacheHierarchy uniqueName="[social_media_data].[Post_Date]" caption="Post_Date" attribute="1" time="1" defaultMemberUniqueName="[social_media_data].[Post_Date].[All]" allUniqueName="[social_media_data].[Post_Date].[All]" dimensionUniqueName="[social_media_data]" displayFolder="" count="0" memberValueDatatype="7" unbalanced="0"/>
    <cacheHierarchy uniqueName="[social_media_data].[Post_Time]" caption="Post_Time" attribute="1" time="1" defaultMemberUniqueName="[social_media_data].[Post_Time].[All]" allUniqueName="[social_media_data].[Post_Time].[All]" dimensionUniqueName="[social_media_data]" displayFolder="" count="0" memberValueDatatype="7" unbalanced="0"/>
    <cacheHierarchy uniqueName="[social_media_data].[Post_Time_Slot]" caption="Post_Time_Slot" attribute="1" defaultMemberUniqueName="[social_media_data].[Post_Time_Slot].[All]" allUniqueName="[social_media_data].[Post_Time_Slot].[All]" dimensionUniqueName="[social_media_data]" displayFolder="" count="0" memberValueDatatype="130" unbalanced="0"/>
    <cacheHierarchy uniqueName="[social_media_data].[Platform]" caption="Platform" attribute="1" defaultMemberUniqueName="[social_media_data].[Platform].[All]" allUniqueName="[social_media_data].[Platform].[All]" dimensionUniqueName="[social_media_data]" displayFolder="" count="2" memberValueDatatype="130" unbalanced="0">
      <fieldsUsage count="2">
        <fieldUsage x="-1"/>
        <fieldUsage x="0"/>
      </fieldsUsage>
    </cacheHierarchy>
    <cacheHierarchy uniqueName="[social_media_data].[Content_Type]" caption="Content_Type" attribute="1" defaultMemberUniqueName="[social_media_data].[Content_Type].[All]" allUniqueName="[social_media_data].[Content_Type].[All]" dimensionUniqueName="[social_media_data]" displayFolder="" count="0" memberValueDatatype="130" unbalanced="0"/>
    <cacheHierarchy uniqueName="[social_media_data].[Campaign]" caption="Campaign" attribute="1" defaultMemberUniqueName="[social_media_data].[Campaign].[All]" allUniqueName="[social_media_data].[Campaign].[All]" dimensionUniqueName="[social_media_data]" displayFolder="" count="0" memberValueDatatype="130" unbalanced="0"/>
    <cacheHierarchy uniqueName="[social_media_data].[Is_Boosted]" caption="Is_Boosted" attribute="1" defaultMemberUniqueName="[social_media_data].[Is_Boosted].[All]" allUniqueName="[social_media_data].[Is_Boosted].[All]" dimensionUniqueName="[social_media_data]" displayFolder="" count="0" memberValueDatatype="130" unbalanced="0"/>
    <cacheHierarchy uniqueName="[social_media_data].[Has_Link]" caption="Has_Link" attribute="1" defaultMemberUniqueName="[social_media_data].[Has_Link].[All]" allUniqueName="[social_media_data].[Has_Link].[All]" dimensionUniqueName="[social_media_data]" displayFolder="" count="0" memberValueDatatype="130" unbalanced="0"/>
    <cacheHierarchy uniqueName="[social_media_data].[Hashtags_Count]" caption="Hashtags_Count" attribute="1" defaultMemberUniqueName="[social_media_data].[Hashtags_Count].[All]" allUniqueName="[social_media_data].[Hashtags_Count].[All]" dimensionUniqueName="[social_media_data]" displayFolder="" count="0" memberValueDatatype="20" unbalanced="0"/>
    <cacheHierarchy uniqueName="[social_media_data].[Video_Duration_Sec]" caption="Video_Duration_Sec" attribute="1" defaultMemberUniqueName="[social_media_data].[Video_Duration_Sec].[All]" allUniqueName="[social_media_data].[Video_Duration_Sec].[All]" dimensionUniqueName="[social_media_data]" displayFolder="" count="0" memberValueDatatype="20" unbalanced="0"/>
    <cacheHierarchy uniqueName="[social_media_data].[Image_Count]" caption="Image_Count" attribute="1" defaultMemberUniqueName="[social_media_data].[Image_Count].[All]" allUniqueName="[social_media_data].[Image_Count].[All]" dimensionUniqueName="[social_media_data]" displayFolder="" count="0" memberValueDatatype="20" unbalanced="0"/>
    <cacheHierarchy uniqueName="[social_media_data].[Caption_Length]" caption="Caption_Length" attribute="1" defaultMemberUniqueName="[social_media_data].[Caption_Length].[All]" allUniqueName="[social_media_data].[Caption_Length].[All]" dimensionUniqueName="[social_media_data]" displayFolder="" count="0" memberValueDatatype="20" unbalanced="0"/>
    <cacheHierarchy uniqueName="[social_media_data].[Production_Cost]" caption="Production_Cost" attribute="1" defaultMemberUniqueName="[social_media_data].[Production_Cost].[All]" allUniqueName="[social_media_data].[Production_Cost].[All]" dimensionUniqueName="[social_media_data]" displayFolder="" count="0" memberValueDatatype="20" unbalanced="0"/>
    <cacheHierarchy uniqueName="[social_media_data].[Promotion_Budget]" caption="Promotion_Budget" attribute="1" defaultMemberUniqueName="[social_media_data].[Promotion_Budget].[All]" allUniqueName="[social_media_data].[Promotion_Budget].[All]" dimensionUniqueName="[social_media_data]" displayFolder="" count="0" memberValueDatatype="20" unbalanced="0"/>
    <cacheHierarchy uniqueName="[social_media_data].[Reach]" caption="Reach" attribute="1" defaultMemberUniqueName="[social_media_data].[Reach].[All]" allUniqueName="[social_media_data].[Reach].[All]" dimensionUniqueName="[social_media_data]" displayFolder="" count="0" memberValueDatatype="20" unbalanced="0"/>
    <cacheHierarchy uniqueName="[social_media_data].[Frequency]" caption="Frequency" attribute="1" defaultMemberUniqueName="[social_media_data].[Frequency].[All]" allUniqueName="[social_media_data].[Frequency].[All]" dimensionUniqueName="[social_media_data]" displayFolder="" count="0" memberValueDatatype="5" unbalanced="0"/>
    <cacheHierarchy uniqueName="[social_media_data].[Impressions]" caption="Impressions" attribute="1" defaultMemberUniqueName="[social_media_data].[Impressions].[All]" allUniqueName="[social_media_data].[Impressions].[All]" dimensionUniqueName="[social_media_data]" displayFolder="" count="0" memberValueDatatype="20" unbalanced="0"/>
    <cacheHierarchy uniqueName="[social_media_data].[Likes]" caption="Likes" attribute="1" defaultMemberUniqueName="[social_media_data].[Likes].[All]" allUniqueName="[social_media_data].[Likes].[All]" dimensionUniqueName="[social_media_data]" displayFolder="" count="0" memberValueDatatype="20" unbalanced="0"/>
    <cacheHierarchy uniqueName="[social_media_data].[Comments]" caption="Comments" attribute="1" defaultMemberUniqueName="[social_media_data].[Comments].[All]" allUniqueName="[social_media_data].[Comments].[All]" dimensionUniqueName="[social_media_data]" displayFolder="" count="0" memberValueDatatype="20" unbalanced="0"/>
    <cacheHierarchy uniqueName="[social_media_data].[Shares]" caption="Shares" attribute="1" defaultMemberUniqueName="[social_media_data].[Shares].[All]" allUniqueName="[social_media_data].[Shares].[All]" dimensionUniqueName="[social_media_data]" displayFolder="" count="0" memberValueDatatype="20" unbalanced="0"/>
    <cacheHierarchy uniqueName="[social_media_data].[Saves]" caption="Saves" attribute="1" defaultMemberUniqueName="[social_media_data].[Saves].[All]" allUniqueName="[social_media_data].[Saves].[All]" dimensionUniqueName="[social_media_data]" displayFolder="" count="0" memberValueDatatype="20" unbalanced="0"/>
    <cacheHierarchy uniqueName="[social_media_data].[Link_Clicks]" caption="Link_Clicks" attribute="1" defaultMemberUniqueName="[social_media_data].[Link_Clicks].[All]" allUniqueName="[social_media_data].[Link_Clicks].[All]" dimensionUniqueName="[social_media_data]" displayFolder="" count="0" memberValueDatatype="20" unbalanced="0"/>
    <cacheHierarchy uniqueName="[social_media_data].[Followers_Gained]" caption="Followers_Gained" attribute="1" defaultMemberUniqueName="[social_media_data].[Followers_Gained].[All]" allUniqueName="[social_media_data].[Followers_Gained].[All]" dimensionUniqueName="[social_media_data]" displayFolder="" count="0" memberValueDatatype="20" unbalanced="0"/>
    <cacheHierarchy uniqueName="[social_media_data].[Caption_Length_Bucket]" caption="Caption_Length_Bucket" attribute="1" defaultMemberUniqueName="[social_media_data].[Caption_Length_Bucket].[All]" allUniqueName="[social_media_data].[Caption_Length_Bucket].[All]" dimensionUniqueName="[social_media_data]" displayFolder="" count="0" memberValueDatatype="130" unbalanced="0"/>
    <cacheHierarchy uniqueName="[social_media_data].[Engagements]" caption="Engagements" attribute="1" defaultMemberUniqueName="[social_media_data].[Engagements].[All]" allUniqueName="[social_media_data].[Engagements].[All]" dimensionUniqueName="[social_media_data]" displayFolder="" count="0" memberValueDatatype="20" unbalanced="0"/>
    <cacheHierarchy uniqueName="[social_media_data].[Is_Viral]" caption="Is_Viral" attribute="1" defaultMemberUniqueName="[social_media_data].[Is_Viral].[All]" allUniqueName="[social_media_data].[Is_Viral].[All]" dimensionUniqueName="[social_media_data]" displayFolder="" count="0" memberValueDatatype="130" unbalanced="0"/>
    <cacheHierarchy uniqueName="[Measures].[Total Engagement]" caption="Total Engagement" measure="1" displayFolder="" measureGroup="social_media_data" count="0"/>
    <cacheHierarchy uniqueName="[Measures].[Total Impressions]" caption="Total Impressions" measure="1" displayFolder="" measureGroup="social_media_data" count="0"/>
    <cacheHierarchy uniqueName="[Measures].[Total Reach]" caption="Total Reach" measure="1" displayFolder="" measureGroup="social_media_data" count="0"/>
    <cacheHierarchy uniqueName="[Measures].[Engagement Rate]" caption="Engagement Rate" measure="1" displayFolder="" measureGroup="social_media_data" count="0" oneField="1">
      <fieldsUsage count="1">
        <fieldUsage x="1"/>
      </fieldsUsage>
    </cacheHierarchy>
    <cacheHierarchy uniqueName="[Measures].[Total Cost]" caption="Total Cost" measure="1" displayFolder="" measureGroup="social_media_data" count="0"/>
    <cacheHierarchy uniqueName="[Measures].[Average Engagement]" caption="Average Engagement" measure="1" displayFolder="" measureGroup="social_media_data" count="0"/>
    <cacheHierarchy uniqueName="[Measures].[Total Posts]" caption="Total Posts" measure="1" displayFolder="" measureGroup="social_media_data" count="0" oneField="1">
      <fieldsUsage count="1">
        <fieldUsage x="2"/>
      </fieldsUsage>
    </cacheHierarchy>
    <cacheHierarchy uniqueName="[Measures].[Likes %]" caption="Likes %" measure="1" displayFolder="" measureGroup="social_media_data" count="0"/>
    <cacheHierarchy uniqueName="[Measures].[Comment %]" caption="Comment %" measure="1" displayFolder="" measureGroup="social_media_data" count="0"/>
    <cacheHierarchy uniqueName="[Measures].[Shares %]" caption="Shares %" measure="1" displayFolder="" measureGroup="social_media_data" count="0"/>
    <cacheHierarchy uniqueName="[Measures].[Saves %]" caption="Saves %" measure="1" displayFolder="" measureGroup="social_media_data" count="0"/>
    <cacheHierarchy uniqueName="[Measures].[Engagement Quality Score]" caption="Engagement Quality Score" measure="1" displayFolder="" measureGroup="social_media_data" count="0"/>
    <cacheHierarchy uniqueName="[Measures].[Total Followers]" caption="Total Followers" measure="1" displayFolder="" measureGroup="social_media_data" count="0"/>
    <cacheHierarchy uniqueName="[Measures].[Avg Reach]" caption="Avg Reach" measure="1" displayFolder="" measureGroup="social_media_data" count="0"/>
    <cacheHierarchy uniqueName="[Measures].[Cost Per Engagement]" caption="Cost Per Engagement" measure="1" displayFolder="" measureGroup="social_media_data" count="0"/>
    <cacheHierarchy uniqueName="[Measures].[CPM]" caption="CPM" measure="1" displayFolder="" measureGroup="social_media_data" count="0"/>
    <cacheHierarchy uniqueName="[Measures].[Cost Per Follower]" caption="Cost Per Follower" measure="1" displayFolder="" measureGroup="social_media_data" count="0"/>
    <cacheHierarchy uniqueName="[Measures].[Follower Conversion Rate]" caption="Follower Conversion Rate" measure="1" displayFolder="" measureGroup="social_media_data" count="0"/>
    <cacheHierarchy uniqueName="[Measures].[CTR]" caption="CTR" measure="1" displayFolder="" measureGroup="social_media_data" count="0"/>
    <cacheHierarchy uniqueName="[Measures].[ROI Engagement]" caption="ROI Engagement" measure="1" displayFolder="" measureGroup="social_media_data" count="0"/>
    <cacheHierarchy uniqueName="[Measures].[Campaign Efficiency Index]" caption="Campaign Efficiency Index" measure="1" displayFolder="" measureGroup="social_media_data" count="0"/>
    <cacheHierarchy uniqueName="[Measures].[__XL_Count social_media_data]" caption="__XL_Count social_media_data" measure="1" displayFolder="" measureGroup="social_media_data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social_media_data" uniqueName="[social_media_data]" caption="social_media_data"/>
  </dimensions>
  <measureGroups count="2">
    <measureGroup name="Calendar" caption="Calendar"/>
    <measureGroup name="social_media_data" caption="social_media_data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aid kamel" refreshedDate="46277.238591319445" backgroundQuery="1" createdVersion="8" refreshedVersion="8" minRefreshableVersion="3" recordCount="0" supportSubquery="1" supportAdvancedDrill="1" xr:uid="{AC8D302F-490E-41C0-90B4-391645AAECBE}">
  <cacheSource type="external" connectionId="3"/>
  <cacheFields count="3">
    <cacheField name="[Measures].[Engagement Rate]" caption="Engagement Rate" numFmtId="0" hierarchy="38" level="32767"/>
    <cacheField name="[social_media_data].[Platform].[Platform]" caption="Platform" numFmtId="0" hierarchy="12" level="1">
      <sharedItems count="4">
        <s v="Facebook"/>
        <s v="Instagram"/>
        <s v="TikTok"/>
        <s v="Twitter/X"/>
      </sharedItems>
    </cacheField>
    <cacheField name="[social_media_data].[Content_Type].[Content_Type]" caption="Content_Type" numFmtId="0" hierarchy="13" level="1">
      <sharedItems count="4">
        <s v="Carousel"/>
        <s v="Image"/>
        <s v="Text"/>
        <s v="Video"/>
      </sharedItems>
    </cacheField>
  </cacheFields>
  <cacheHierarchies count="59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social_media_data].[Post_ID]" caption="Post_ID" attribute="1" defaultMemberUniqueName="[social_media_data].[Post_ID].[All]" allUniqueName="[social_media_data].[Post_ID].[All]" dimensionUniqueName="[social_media_data]" displayFolder="" count="0" memberValueDatatype="130" unbalanced="0"/>
    <cacheHierarchy uniqueName="[social_media_data].[Post_Date]" caption="Post_Date" attribute="1" time="1" defaultMemberUniqueName="[social_media_data].[Post_Date].[All]" allUniqueName="[social_media_data].[Post_Date].[All]" dimensionUniqueName="[social_media_data]" displayFolder="" count="0" memberValueDatatype="7" unbalanced="0"/>
    <cacheHierarchy uniqueName="[social_media_data].[Post_Time]" caption="Post_Time" attribute="1" time="1" defaultMemberUniqueName="[social_media_data].[Post_Time].[All]" allUniqueName="[social_media_data].[Post_Time].[All]" dimensionUniqueName="[social_media_data]" displayFolder="" count="0" memberValueDatatype="7" unbalanced="0"/>
    <cacheHierarchy uniqueName="[social_media_data].[Post_Time_Slot]" caption="Post_Time_Slot" attribute="1" defaultMemberUniqueName="[social_media_data].[Post_Time_Slot].[All]" allUniqueName="[social_media_data].[Post_Time_Slot].[All]" dimensionUniqueName="[social_media_data]" displayFolder="" count="0" memberValueDatatype="130" unbalanced="0"/>
    <cacheHierarchy uniqueName="[social_media_data].[Platform]" caption="Platform" attribute="1" defaultMemberUniqueName="[social_media_data].[Platform].[All]" allUniqueName="[social_media_data].[Platform].[All]" dimensionUniqueName="[social_media_data]" displayFolder="" count="2" memberValueDatatype="130" unbalanced="0">
      <fieldsUsage count="2">
        <fieldUsage x="-1"/>
        <fieldUsage x="1"/>
      </fieldsUsage>
    </cacheHierarchy>
    <cacheHierarchy uniqueName="[social_media_data].[Content_Type]" caption="Content_Type" attribute="1" defaultMemberUniqueName="[social_media_data].[Content_Type].[All]" allUniqueName="[social_media_data].[Content_Type].[All]" dimensionUniqueName="[social_media_data]" displayFolder="" count="2" memberValueDatatype="130" unbalanced="0">
      <fieldsUsage count="2">
        <fieldUsage x="-1"/>
        <fieldUsage x="2"/>
      </fieldsUsage>
    </cacheHierarchy>
    <cacheHierarchy uniqueName="[social_media_data].[Campaign]" caption="Campaign" attribute="1" defaultMemberUniqueName="[social_media_data].[Campaign].[All]" allUniqueName="[social_media_data].[Campaign].[All]" dimensionUniqueName="[social_media_data]" displayFolder="" count="0" memberValueDatatype="130" unbalanced="0"/>
    <cacheHierarchy uniqueName="[social_media_data].[Is_Boosted]" caption="Is_Boosted" attribute="1" defaultMemberUniqueName="[social_media_data].[Is_Boosted].[All]" allUniqueName="[social_media_data].[Is_Boosted].[All]" dimensionUniqueName="[social_media_data]" displayFolder="" count="0" memberValueDatatype="130" unbalanced="0"/>
    <cacheHierarchy uniqueName="[social_media_data].[Has_Link]" caption="Has_Link" attribute="1" defaultMemberUniqueName="[social_media_data].[Has_Link].[All]" allUniqueName="[social_media_data].[Has_Link].[All]" dimensionUniqueName="[social_media_data]" displayFolder="" count="0" memberValueDatatype="130" unbalanced="0"/>
    <cacheHierarchy uniqueName="[social_media_data].[Hashtags_Count]" caption="Hashtags_Count" attribute="1" defaultMemberUniqueName="[social_media_data].[Hashtags_Count].[All]" allUniqueName="[social_media_data].[Hashtags_Count].[All]" dimensionUniqueName="[social_media_data]" displayFolder="" count="0" memberValueDatatype="20" unbalanced="0"/>
    <cacheHierarchy uniqueName="[social_media_data].[Video_Duration_Sec]" caption="Video_Duration_Sec" attribute="1" defaultMemberUniqueName="[social_media_data].[Video_Duration_Sec].[All]" allUniqueName="[social_media_data].[Video_Duration_Sec].[All]" dimensionUniqueName="[social_media_data]" displayFolder="" count="0" memberValueDatatype="20" unbalanced="0"/>
    <cacheHierarchy uniqueName="[social_media_data].[Image_Count]" caption="Image_Count" attribute="1" defaultMemberUniqueName="[social_media_data].[Image_Count].[All]" allUniqueName="[social_media_data].[Image_Count].[All]" dimensionUniqueName="[social_media_data]" displayFolder="" count="0" memberValueDatatype="20" unbalanced="0"/>
    <cacheHierarchy uniqueName="[social_media_data].[Caption_Length]" caption="Caption_Length" attribute="1" defaultMemberUniqueName="[social_media_data].[Caption_Length].[All]" allUniqueName="[social_media_data].[Caption_Length].[All]" dimensionUniqueName="[social_media_data]" displayFolder="" count="0" memberValueDatatype="20" unbalanced="0"/>
    <cacheHierarchy uniqueName="[social_media_data].[Production_Cost]" caption="Production_Cost" attribute="1" defaultMemberUniqueName="[social_media_data].[Production_Cost].[All]" allUniqueName="[social_media_data].[Production_Cost].[All]" dimensionUniqueName="[social_media_data]" displayFolder="" count="0" memberValueDatatype="20" unbalanced="0"/>
    <cacheHierarchy uniqueName="[social_media_data].[Promotion_Budget]" caption="Promotion_Budget" attribute="1" defaultMemberUniqueName="[social_media_data].[Promotion_Budget].[All]" allUniqueName="[social_media_data].[Promotion_Budget].[All]" dimensionUniqueName="[social_media_data]" displayFolder="" count="0" memberValueDatatype="20" unbalanced="0"/>
    <cacheHierarchy uniqueName="[social_media_data].[Reach]" caption="Reach" attribute="1" defaultMemberUniqueName="[social_media_data].[Reach].[All]" allUniqueName="[social_media_data].[Reach].[All]" dimensionUniqueName="[social_media_data]" displayFolder="" count="0" memberValueDatatype="20" unbalanced="0"/>
    <cacheHierarchy uniqueName="[social_media_data].[Frequency]" caption="Frequency" attribute="1" defaultMemberUniqueName="[social_media_data].[Frequency].[All]" allUniqueName="[social_media_data].[Frequency].[All]" dimensionUniqueName="[social_media_data]" displayFolder="" count="0" memberValueDatatype="5" unbalanced="0"/>
    <cacheHierarchy uniqueName="[social_media_data].[Impressions]" caption="Impressions" attribute="1" defaultMemberUniqueName="[social_media_data].[Impressions].[All]" allUniqueName="[social_media_data].[Impressions].[All]" dimensionUniqueName="[social_media_data]" displayFolder="" count="0" memberValueDatatype="20" unbalanced="0"/>
    <cacheHierarchy uniqueName="[social_media_data].[Likes]" caption="Likes" attribute="1" defaultMemberUniqueName="[social_media_data].[Likes].[All]" allUniqueName="[social_media_data].[Likes].[All]" dimensionUniqueName="[social_media_data]" displayFolder="" count="0" memberValueDatatype="20" unbalanced="0"/>
    <cacheHierarchy uniqueName="[social_media_data].[Comments]" caption="Comments" attribute="1" defaultMemberUniqueName="[social_media_data].[Comments].[All]" allUniqueName="[social_media_data].[Comments].[All]" dimensionUniqueName="[social_media_data]" displayFolder="" count="0" memberValueDatatype="20" unbalanced="0"/>
    <cacheHierarchy uniqueName="[social_media_data].[Shares]" caption="Shares" attribute="1" defaultMemberUniqueName="[social_media_data].[Shares].[All]" allUniqueName="[social_media_data].[Shares].[All]" dimensionUniqueName="[social_media_data]" displayFolder="" count="0" memberValueDatatype="20" unbalanced="0"/>
    <cacheHierarchy uniqueName="[social_media_data].[Saves]" caption="Saves" attribute="1" defaultMemberUniqueName="[social_media_data].[Saves].[All]" allUniqueName="[social_media_data].[Saves].[All]" dimensionUniqueName="[social_media_data]" displayFolder="" count="0" memberValueDatatype="20" unbalanced="0"/>
    <cacheHierarchy uniqueName="[social_media_data].[Link_Clicks]" caption="Link_Clicks" attribute="1" defaultMemberUniqueName="[social_media_data].[Link_Clicks].[All]" allUniqueName="[social_media_data].[Link_Clicks].[All]" dimensionUniqueName="[social_media_data]" displayFolder="" count="0" memberValueDatatype="20" unbalanced="0"/>
    <cacheHierarchy uniqueName="[social_media_data].[Followers_Gained]" caption="Followers_Gained" attribute="1" defaultMemberUniqueName="[social_media_data].[Followers_Gained].[All]" allUniqueName="[social_media_data].[Followers_Gained].[All]" dimensionUniqueName="[social_media_data]" displayFolder="" count="0" memberValueDatatype="20" unbalanced="0"/>
    <cacheHierarchy uniqueName="[social_media_data].[Caption_Length_Bucket]" caption="Caption_Length_Bucket" attribute="1" defaultMemberUniqueName="[social_media_data].[Caption_Length_Bucket].[All]" allUniqueName="[social_media_data].[Caption_Length_Bucket].[All]" dimensionUniqueName="[social_media_data]" displayFolder="" count="0" memberValueDatatype="130" unbalanced="0"/>
    <cacheHierarchy uniqueName="[social_media_data].[Engagements]" caption="Engagements" attribute="1" defaultMemberUniqueName="[social_media_data].[Engagements].[All]" allUniqueName="[social_media_data].[Engagements].[All]" dimensionUniqueName="[social_media_data]" displayFolder="" count="0" memberValueDatatype="20" unbalanced="0"/>
    <cacheHierarchy uniqueName="[social_media_data].[Is_Viral]" caption="Is_Viral" attribute="1" defaultMemberUniqueName="[social_media_data].[Is_Viral].[All]" allUniqueName="[social_media_data].[Is_Viral].[All]" dimensionUniqueName="[social_media_data]" displayFolder="" count="0" memberValueDatatype="130" unbalanced="0"/>
    <cacheHierarchy uniqueName="[Measures].[Total Engagement]" caption="Total Engagement" measure="1" displayFolder="" measureGroup="social_media_data" count="0"/>
    <cacheHierarchy uniqueName="[Measures].[Total Impressions]" caption="Total Impressions" measure="1" displayFolder="" measureGroup="social_media_data" count="0"/>
    <cacheHierarchy uniqueName="[Measures].[Total Reach]" caption="Total Reach" measure="1" displayFolder="" measureGroup="social_media_data" count="0"/>
    <cacheHierarchy uniqueName="[Measures].[Engagement Rate]" caption="Engagement Rate" measure="1" displayFolder="" measureGroup="social_media_data" count="0" oneField="1">
      <fieldsUsage count="1">
        <fieldUsage x="0"/>
      </fieldsUsage>
    </cacheHierarchy>
    <cacheHierarchy uniqueName="[Measures].[Total Cost]" caption="Total Cost" measure="1" displayFolder="" measureGroup="social_media_data" count="0"/>
    <cacheHierarchy uniqueName="[Measures].[Average Engagement]" caption="Average Engagement" measure="1" displayFolder="" measureGroup="social_media_data" count="0"/>
    <cacheHierarchy uniqueName="[Measures].[Total Posts]" caption="Total Posts" measure="1" displayFolder="" measureGroup="social_media_data" count="0"/>
    <cacheHierarchy uniqueName="[Measures].[Likes %]" caption="Likes %" measure="1" displayFolder="" measureGroup="social_media_data" count="0"/>
    <cacheHierarchy uniqueName="[Measures].[Comment %]" caption="Comment %" measure="1" displayFolder="" measureGroup="social_media_data" count="0"/>
    <cacheHierarchy uniqueName="[Measures].[Shares %]" caption="Shares %" measure="1" displayFolder="" measureGroup="social_media_data" count="0"/>
    <cacheHierarchy uniqueName="[Measures].[Saves %]" caption="Saves %" measure="1" displayFolder="" measureGroup="social_media_data" count="0"/>
    <cacheHierarchy uniqueName="[Measures].[Engagement Quality Score]" caption="Engagement Quality Score" measure="1" displayFolder="" measureGroup="social_media_data" count="0"/>
    <cacheHierarchy uniqueName="[Measures].[Total Followers]" caption="Total Followers" measure="1" displayFolder="" measureGroup="social_media_data" count="0"/>
    <cacheHierarchy uniqueName="[Measures].[Avg Reach]" caption="Avg Reach" measure="1" displayFolder="" measureGroup="social_media_data" count="0"/>
    <cacheHierarchy uniqueName="[Measures].[Cost Per Engagement]" caption="Cost Per Engagement" measure="1" displayFolder="" measureGroup="social_media_data" count="0"/>
    <cacheHierarchy uniqueName="[Measures].[CPM]" caption="CPM" measure="1" displayFolder="" measureGroup="social_media_data" count="0"/>
    <cacheHierarchy uniqueName="[Measures].[Cost Per Follower]" caption="Cost Per Follower" measure="1" displayFolder="" measureGroup="social_media_data" count="0"/>
    <cacheHierarchy uniqueName="[Measures].[Follower Conversion Rate]" caption="Follower Conversion Rate" measure="1" displayFolder="" measureGroup="social_media_data" count="0"/>
    <cacheHierarchy uniqueName="[Measures].[CTR]" caption="CTR" measure="1" displayFolder="" measureGroup="social_media_data" count="0"/>
    <cacheHierarchy uniqueName="[Measures].[ROI Engagement]" caption="ROI Engagement" measure="1" displayFolder="" measureGroup="social_media_data" count="0"/>
    <cacheHierarchy uniqueName="[Measures].[Campaign Efficiency Index]" caption="Campaign Efficiency Index" measure="1" displayFolder="" measureGroup="social_media_data" count="0"/>
    <cacheHierarchy uniqueName="[Measures].[__XL_Count social_media_data]" caption="__XL_Count social_media_data" measure="1" displayFolder="" measureGroup="social_media_data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social_media_data" uniqueName="[social_media_data]" caption="social_media_data"/>
  </dimensions>
  <measureGroups count="2">
    <measureGroup name="Calendar" caption="Calendar"/>
    <measureGroup name="social_media_data" caption="social_media_data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aid kamel" refreshedDate="46277.242480092595" backgroundQuery="1" createdVersion="8" refreshedVersion="8" minRefreshableVersion="3" recordCount="0" supportSubquery="1" supportAdvancedDrill="1" xr:uid="{F43683CF-E669-404F-A944-592DF6626C6D}">
  <cacheSource type="external" connectionId="3"/>
  <cacheFields count="4">
    <cacheField name="[Measures].[Engagement Rate]" caption="Engagement Rate" numFmtId="0" hierarchy="38" level="32767"/>
    <cacheField name="[social_media_data].[Platform].[Platform]" caption="Platform" numFmtId="0" hierarchy="12" level="1">
      <sharedItems count="4">
        <s v="Facebook"/>
        <s v="Instagram"/>
        <s v="TikTok"/>
        <s v="Twitter/X"/>
      </sharedItems>
    </cacheField>
    <cacheField name="[social_media_data].[Content_Type].[Content_Type]" caption="Content_Type" numFmtId="0" hierarchy="13" level="1">
      <sharedItems count="4">
        <s v="Carousel"/>
        <s v="Image"/>
        <s v="Text"/>
        <s v="Video"/>
      </sharedItems>
    </cacheField>
    <cacheField name="[Measures].[Total Posts]" caption="Total Posts" numFmtId="0" hierarchy="41" level="32767"/>
  </cacheFields>
  <cacheHierarchies count="59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social_media_data].[Post_ID]" caption="Post_ID" attribute="1" defaultMemberUniqueName="[social_media_data].[Post_ID].[All]" allUniqueName="[social_media_data].[Post_ID].[All]" dimensionUniqueName="[social_media_data]" displayFolder="" count="0" memberValueDatatype="130" unbalanced="0"/>
    <cacheHierarchy uniqueName="[social_media_data].[Post_Date]" caption="Post_Date" attribute="1" time="1" defaultMemberUniqueName="[social_media_data].[Post_Date].[All]" allUniqueName="[social_media_data].[Post_Date].[All]" dimensionUniqueName="[social_media_data]" displayFolder="" count="0" memberValueDatatype="7" unbalanced="0"/>
    <cacheHierarchy uniqueName="[social_media_data].[Post_Time]" caption="Post_Time" attribute="1" time="1" defaultMemberUniqueName="[social_media_data].[Post_Time].[All]" allUniqueName="[social_media_data].[Post_Time].[All]" dimensionUniqueName="[social_media_data]" displayFolder="" count="0" memberValueDatatype="7" unbalanced="0"/>
    <cacheHierarchy uniqueName="[social_media_data].[Post_Time_Slot]" caption="Post_Time_Slot" attribute="1" defaultMemberUniqueName="[social_media_data].[Post_Time_Slot].[All]" allUniqueName="[social_media_data].[Post_Time_Slot].[All]" dimensionUniqueName="[social_media_data]" displayFolder="" count="0" memberValueDatatype="130" unbalanced="0"/>
    <cacheHierarchy uniqueName="[social_media_data].[Platform]" caption="Platform" attribute="1" defaultMemberUniqueName="[social_media_data].[Platform].[All]" allUniqueName="[social_media_data].[Platform].[All]" dimensionUniqueName="[social_media_data]" displayFolder="" count="2" memberValueDatatype="130" unbalanced="0">
      <fieldsUsage count="2">
        <fieldUsage x="-1"/>
        <fieldUsage x="1"/>
      </fieldsUsage>
    </cacheHierarchy>
    <cacheHierarchy uniqueName="[social_media_data].[Content_Type]" caption="Content_Type" attribute="1" defaultMemberUniqueName="[social_media_data].[Content_Type].[All]" allUniqueName="[social_media_data].[Content_Type].[All]" dimensionUniqueName="[social_media_data]" displayFolder="" count="2" memberValueDatatype="130" unbalanced="0">
      <fieldsUsage count="2">
        <fieldUsage x="-1"/>
        <fieldUsage x="2"/>
      </fieldsUsage>
    </cacheHierarchy>
    <cacheHierarchy uniqueName="[social_media_data].[Campaign]" caption="Campaign" attribute="1" defaultMemberUniqueName="[social_media_data].[Campaign].[All]" allUniqueName="[social_media_data].[Campaign].[All]" dimensionUniqueName="[social_media_data]" displayFolder="" count="0" memberValueDatatype="130" unbalanced="0"/>
    <cacheHierarchy uniqueName="[social_media_data].[Is_Boosted]" caption="Is_Boosted" attribute="1" defaultMemberUniqueName="[social_media_data].[Is_Boosted].[All]" allUniqueName="[social_media_data].[Is_Boosted].[All]" dimensionUniqueName="[social_media_data]" displayFolder="" count="0" memberValueDatatype="130" unbalanced="0"/>
    <cacheHierarchy uniqueName="[social_media_data].[Has_Link]" caption="Has_Link" attribute="1" defaultMemberUniqueName="[social_media_data].[Has_Link].[All]" allUniqueName="[social_media_data].[Has_Link].[All]" dimensionUniqueName="[social_media_data]" displayFolder="" count="0" memberValueDatatype="130" unbalanced="0"/>
    <cacheHierarchy uniqueName="[social_media_data].[Hashtags_Count]" caption="Hashtags_Count" attribute="1" defaultMemberUniqueName="[social_media_data].[Hashtags_Count].[All]" allUniqueName="[social_media_data].[Hashtags_Count].[All]" dimensionUniqueName="[social_media_data]" displayFolder="" count="0" memberValueDatatype="20" unbalanced="0"/>
    <cacheHierarchy uniqueName="[social_media_data].[Video_Duration_Sec]" caption="Video_Duration_Sec" attribute="1" defaultMemberUniqueName="[social_media_data].[Video_Duration_Sec].[All]" allUniqueName="[social_media_data].[Video_Duration_Sec].[All]" dimensionUniqueName="[social_media_data]" displayFolder="" count="0" memberValueDatatype="20" unbalanced="0"/>
    <cacheHierarchy uniqueName="[social_media_data].[Image_Count]" caption="Image_Count" attribute="1" defaultMemberUniqueName="[social_media_data].[Image_Count].[All]" allUniqueName="[social_media_data].[Image_Count].[All]" dimensionUniqueName="[social_media_data]" displayFolder="" count="0" memberValueDatatype="20" unbalanced="0"/>
    <cacheHierarchy uniqueName="[social_media_data].[Caption_Length]" caption="Caption_Length" attribute="1" defaultMemberUniqueName="[social_media_data].[Caption_Length].[All]" allUniqueName="[social_media_data].[Caption_Length].[All]" dimensionUniqueName="[social_media_data]" displayFolder="" count="0" memberValueDatatype="20" unbalanced="0"/>
    <cacheHierarchy uniqueName="[social_media_data].[Production_Cost]" caption="Production_Cost" attribute="1" defaultMemberUniqueName="[social_media_data].[Production_Cost].[All]" allUniqueName="[social_media_data].[Production_Cost].[All]" dimensionUniqueName="[social_media_data]" displayFolder="" count="0" memberValueDatatype="20" unbalanced="0"/>
    <cacheHierarchy uniqueName="[social_media_data].[Promotion_Budget]" caption="Promotion_Budget" attribute="1" defaultMemberUniqueName="[social_media_data].[Promotion_Budget].[All]" allUniqueName="[social_media_data].[Promotion_Budget].[All]" dimensionUniqueName="[social_media_data]" displayFolder="" count="0" memberValueDatatype="20" unbalanced="0"/>
    <cacheHierarchy uniqueName="[social_media_data].[Reach]" caption="Reach" attribute="1" defaultMemberUniqueName="[social_media_data].[Reach].[All]" allUniqueName="[social_media_data].[Reach].[All]" dimensionUniqueName="[social_media_data]" displayFolder="" count="0" memberValueDatatype="20" unbalanced="0"/>
    <cacheHierarchy uniqueName="[social_media_data].[Frequency]" caption="Frequency" attribute="1" defaultMemberUniqueName="[social_media_data].[Frequency].[All]" allUniqueName="[social_media_data].[Frequency].[All]" dimensionUniqueName="[social_media_data]" displayFolder="" count="0" memberValueDatatype="5" unbalanced="0"/>
    <cacheHierarchy uniqueName="[social_media_data].[Impressions]" caption="Impressions" attribute="1" defaultMemberUniqueName="[social_media_data].[Impressions].[All]" allUniqueName="[social_media_data].[Impressions].[All]" dimensionUniqueName="[social_media_data]" displayFolder="" count="0" memberValueDatatype="20" unbalanced="0"/>
    <cacheHierarchy uniqueName="[social_media_data].[Likes]" caption="Likes" attribute="1" defaultMemberUniqueName="[social_media_data].[Likes].[All]" allUniqueName="[social_media_data].[Likes].[All]" dimensionUniqueName="[social_media_data]" displayFolder="" count="0" memberValueDatatype="20" unbalanced="0"/>
    <cacheHierarchy uniqueName="[social_media_data].[Comments]" caption="Comments" attribute="1" defaultMemberUniqueName="[social_media_data].[Comments].[All]" allUniqueName="[social_media_data].[Comments].[All]" dimensionUniqueName="[social_media_data]" displayFolder="" count="0" memberValueDatatype="20" unbalanced="0"/>
    <cacheHierarchy uniqueName="[social_media_data].[Shares]" caption="Shares" attribute="1" defaultMemberUniqueName="[social_media_data].[Shares].[All]" allUniqueName="[social_media_data].[Shares].[All]" dimensionUniqueName="[social_media_data]" displayFolder="" count="0" memberValueDatatype="20" unbalanced="0"/>
    <cacheHierarchy uniqueName="[social_media_data].[Saves]" caption="Saves" attribute="1" defaultMemberUniqueName="[social_media_data].[Saves].[All]" allUniqueName="[social_media_data].[Saves].[All]" dimensionUniqueName="[social_media_data]" displayFolder="" count="0" memberValueDatatype="20" unbalanced="0"/>
    <cacheHierarchy uniqueName="[social_media_data].[Link_Clicks]" caption="Link_Clicks" attribute="1" defaultMemberUniqueName="[social_media_data].[Link_Clicks].[All]" allUniqueName="[social_media_data].[Link_Clicks].[All]" dimensionUniqueName="[social_media_data]" displayFolder="" count="0" memberValueDatatype="20" unbalanced="0"/>
    <cacheHierarchy uniqueName="[social_media_data].[Followers_Gained]" caption="Followers_Gained" attribute="1" defaultMemberUniqueName="[social_media_data].[Followers_Gained].[All]" allUniqueName="[social_media_data].[Followers_Gained].[All]" dimensionUniqueName="[social_media_data]" displayFolder="" count="0" memberValueDatatype="20" unbalanced="0"/>
    <cacheHierarchy uniqueName="[social_media_data].[Caption_Length_Bucket]" caption="Caption_Length_Bucket" attribute="1" defaultMemberUniqueName="[social_media_data].[Caption_Length_Bucket].[All]" allUniqueName="[social_media_data].[Caption_Length_Bucket].[All]" dimensionUniqueName="[social_media_data]" displayFolder="" count="0" memberValueDatatype="130" unbalanced="0"/>
    <cacheHierarchy uniqueName="[social_media_data].[Engagements]" caption="Engagements" attribute="1" defaultMemberUniqueName="[social_media_data].[Engagements].[All]" allUniqueName="[social_media_data].[Engagements].[All]" dimensionUniqueName="[social_media_data]" displayFolder="" count="0" memberValueDatatype="20" unbalanced="0"/>
    <cacheHierarchy uniqueName="[social_media_data].[Is_Viral]" caption="Is_Viral" attribute="1" defaultMemberUniqueName="[social_media_data].[Is_Viral].[All]" allUniqueName="[social_media_data].[Is_Viral].[All]" dimensionUniqueName="[social_media_data]" displayFolder="" count="0" memberValueDatatype="130" unbalanced="0"/>
    <cacheHierarchy uniqueName="[Measures].[Total Engagement]" caption="Total Engagement" measure="1" displayFolder="" measureGroup="social_media_data" count="0"/>
    <cacheHierarchy uniqueName="[Measures].[Total Impressions]" caption="Total Impressions" measure="1" displayFolder="" measureGroup="social_media_data" count="0"/>
    <cacheHierarchy uniqueName="[Measures].[Total Reach]" caption="Total Reach" measure="1" displayFolder="" measureGroup="social_media_data" count="0"/>
    <cacheHierarchy uniqueName="[Measures].[Engagement Rate]" caption="Engagement Rate" measure="1" displayFolder="" measureGroup="social_media_data" count="0" oneField="1">
      <fieldsUsage count="1">
        <fieldUsage x="0"/>
      </fieldsUsage>
    </cacheHierarchy>
    <cacheHierarchy uniqueName="[Measures].[Total Cost]" caption="Total Cost" measure="1" displayFolder="" measureGroup="social_media_data" count="0"/>
    <cacheHierarchy uniqueName="[Measures].[Average Engagement]" caption="Average Engagement" measure="1" displayFolder="" measureGroup="social_media_data" count="0"/>
    <cacheHierarchy uniqueName="[Measures].[Total Posts]" caption="Total Posts" measure="1" displayFolder="" measureGroup="social_media_data" count="0" oneField="1">
      <fieldsUsage count="1">
        <fieldUsage x="3"/>
      </fieldsUsage>
    </cacheHierarchy>
    <cacheHierarchy uniqueName="[Measures].[Likes %]" caption="Likes %" measure="1" displayFolder="" measureGroup="social_media_data" count="0"/>
    <cacheHierarchy uniqueName="[Measures].[Comment %]" caption="Comment %" measure="1" displayFolder="" measureGroup="social_media_data" count="0"/>
    <cacheHierarchy uniqueName="[Measures].[Shares %]" caption="Shares %" measure="1" displayFolder="" measureGroup="social_media_data" count="0"/>
    <cacheHierarchy uniqueName="[Measures].[Saves %]" caption="Saves %" measure="1" displayFolder="" measureGroup="social_media_data" count="0"/>
    <cacheHierarchy uniqueName="[Measures].[Engagement Quality Score]" caption="Engagement Quality Score" measure="1" displayFolder="" measureGroup="social_media_data" count="0"/>
    <cacheHierarchy uniqueName="[Measures].[Total Followers]" caption="Total Followers" measure="1" displayFolder="" measureGroup="social_media_data" count="0"/>
    <cacheHierarchy uniqueName="[Measures].[Avg Reach]" caption="Avg Reach" measure="1" displayFolder="" measureGroup="social_media_data" count="0"/>
    <cacheHierarchy uniqueName="[Measures].[Cost Per Engagement]" caption="Cost Per Engagement" measure="1" displayFolder="" measureGroup="social_media_data" count="0"/>
    <cacheHierarchy uniqueName="[Measures].[CPM]" caption="CPM" measure="1" displayFolder="" measureGroup="social_media_data" count="0"/>
    <cacheHierarchy uniqueName="[Measures].[Cost Per Follower]" caption="Cost Per Follower" measure="1" displayFolder="" measureGroup="social_media_data" count="0"/>
    <cacheHierarchy uniqueName="[Measures].[Follower Conversion Rate]" caption="Follower Conversion Rate" measure="1" displayFolder="" measureGroup="social_media_data" count="0"/>
    <cacheHierarchy uniqueName="[Measures].[CTR]" caption="CTR" measure="1" displayFolder="" measureGroup="social_media_data" count="0"/>
    <cacheHierarchy uniqueName="[Measures].[ROI Engagement]" caption="ROI Engagement" measure="1" displayFolder="" measureGroup="social_media_data" count="0"/>
    <cacheHierarchy uniqueName="[Measures].[Campaign Efficiency Index]" caption="Campaign Efficiency Index" measure="1" displayFolder="" measureGroup="social_media_data" count="0"/>
    <cacheHierarchy uniqueName="[Measures].[__XL_Count social_media_data]" caption="__XL_Count social_media_data" measure="1" displayFolder="" measureGroup="social_media_data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social_media_data" uniqueName="[social_media_data]" caption="social_media_data"/>
  </dimensions>
  <measureGroups count="2">
    <measureGroup name="Calendar" caption="Calendar"/>
    <measureGroup name="social_media_data" caption="social_media_data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aid kamel" refreshedDate="46277.254065277775" backgroundQuery="1" createdVersion="8" refreshedVersion="8" minRefreshableVersion="3" recordCount="0" supportSubquery="1" supportAdvancedDrill="1" xr:uid="{4F36D23A-3D8D-4F4F-8C0B-DA2302078AB7}">
  <cacheSource type="external" connectionId="3"/>
  <cacheFields count="6">
    <cacheField name="[social_media_data].[Campaign].[Campaign]" caption="Campaign" numFmtId="0" hierarchy="14" level="1">
      <sharedItems count="6">
        <s v="Back to School"/>
        <s v="Fall Collection"/>
        <s v="Holiday Magic"/>
        <s v="New Year Reset"/>
        <s v="Spring Launch"/>
        <s v="Summer Vibes"/>
      </sharedItems>
    </cacheField>
    <cacheField name="[Measures].[Total Posts]" caption="Total Posts" numFmtId="0" hierarchy="41" level="32767"/>
    <cacheField name="[Measures].[Engagement Rate]" caption="Engagement Rate" numFmtId="0" hierarchy="38" level="32767"/>
    <cacheField name="[Measures].[Total Followers]" caption="Total Followers" numFmtId="0" hierarchy="47" level="32767"/>
    <cacheField name="[Measures].[Total Cost]" caption="Total Cost" numFmtId="0" hierarchy="39" level="32767"/>
    <cacheField name="[Measures].[Total Engagement]" caption="Total Engagement" numFmtId="0" hierarchy="35" level="32767"/>
  </cacheFields>
  <cacheHierarchies count="59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social_media_data].[Post_ID]" caption="Post_ID" attribute="1" defaultMemberUniqueName="[social_media_data].[Post_ID].[All]" allUniqueName="[social_media_data].[Post_ID].[All]" dimensionUniqueName="[social_media_data]" displayFolder="" count="0" memberValueDatatype="130" unbalanced="0"/>
    <cacheHierarchy uniqueName="[social_media_data].[Post_Date]" caption="Post_Date" attribute="1" time="1" defaultMemberUniqueName="[social_media_data].[Post_Date].[All]" allUniqueName="[social_media_data].[Post_Date].[All]" dimensionUniqueName="[social_media_data]" displayFolder="" count="0" memberValueDatatype="7" unbalanced="0"/>
    <cacheHierarchy uniqueName="[social_media_data].[Post_Time]" caption="Post_Time" attribute="1" time="1" defaultMemberUniqueName="[social_media_data].[Post_Time].[All]" allUniqueName="[social_media_data].[Post_Time].[All]" dimensionUniqueName="[social_media_data]" displayFolder="" count="0" memberValueDatatype="7" unbalanced="0"/>
    <cacheHierarchy uniqueName="[social_media_data].[Post_Time_Slot]" caption="Post_Time_Slot" attribute="1" defaultMemberUniqueName="[social_media_data].[Post_Time_Slot].[All]" allUniqueName="[social_media_data].[Post_Time_Slot].[All]" dimensionUniqueName="[social_media_data]" displayFolder="" count="0" memberValueDatatype="130" unbalanced="0"/>
    <cacheHierarchy uniqueName="[social_media_data].[Platform]" caption="Platform" attribute="1" defaultMemberUniqueName="[social_media_data].[Platform].[All]" allUniqueName="[social_media_data].[Platform].[All]" dimensionUniqueName="[social_media_data]" displayFolder="" count="2" memberValueDatatype="130" unbalanced="0"/>
    <cacheHierarchy uniqueName="[social_media_data].[Content_Type]" caption="Content_Type" attribute="1" defaultMemberUniqueName="[social_media_data].[Content_Type].[All]" allUniqueName="[social_media_data].[Content_Type].[All]" dimensionUniqueName="[social_media_data]" displayFolder="" count="0" memberValueDatatype="130" unbalanced="0"/>
    <cacheHierarchy uniqueName="[social_media_data].[Campaign]" caption="Campaign" attribute="1" defaultMemberUniqueName="[social_media_data].[Campaign].[All]" allUniqueName="[social_media_data].[Campaign].[All]" dimensionUniqueName="[social_media_data]" displayFolder="" count="2" memberValueDatatype="130" unbalanced="0">
      <fieldsUsage count="2">
        <fieldUsage x="-1"/>
        <fieldUsage x="0"/>
      </fieldsUsage>
    </cacheHierarchy>
    <cacheHierarchy uniqueName="[social_media_data].[Is_Boosted]" caption="Is_Boosted" attribute="1" defaultMemberUniqueName="[social_media_data].[Is_Boosted].[All]" allUniqueName="[social_media_data].[Is_Boosted].[All]" dimensionUniqueName="[social_media_data]" displayFolder="" count="0" memberValueDatatype="130" unbalanced="0"/>
    <cacheHierarchy uniqueName="[social_media_data].[Has_Link]" caption="Has_Link" attribute="1" defaultMemberUniqueName="[social_media_data].[Has_Link].[All]" allUniqueName="[social_media_data].[Has_Link].[All]" dimensionUniqueName="[social_media_data]" displayFolder="" count="0" memberValueDatatype="130" unbalanced="0"/>
    <cacheHierarchy uniqueName="[social_media_data].[Hashtags_Count]" caption="Hashtags_Count" attribute="1" defaultMemberUniqueName="[social_media_data].[Hashtags_Count].[All]" allUniqueName="[social_media_data].[Hashtags_Count].[All]" dimensionUniqueName="[social_media_data]" displayFolder="" count="0" memberValueDatatype="20" unbalanced="0"/>
    <cacheHierarchy uniqueName="[social_media_data].[Video_Duration_Sec]" caption="Video_Duration_Sec" attribute="1" defaultMemberUniqueName="[social_media_data].[Video_Duration_Sec].[All]" allUniqueName="[social_media_data].[Video_Duration_Sec].[All]" dimensionUniqueName="[social_media_data]" displayFolder="" count="0" memberValueDatatype="20" unbalanced="0"/>
    <cacheHierarchy uniqueName="[social_media_data].[Image_Count]" caption="Image_Count" attribute="1" defaultMemberUniqueName="[social_media_data].[Image_Count].[All]" allUniqueName="[social_media_data].[Image_Count].[All]" dimensionUniqueName="[social_media_data]" displayFolder="" count="0" memberValueDatatype="20" unbalanced="0"/>
    <cacheHierarchy uniqueName="[social_media_data].[Caption_Length]" caption="Caption_Length" attribute="1" defaultMemberUniqueName="[social_media_data].[Caption_Length].[All]" allUniqueName="[social_media_data].[Caption_Length].[All]" dimensionUniqueName="[social_media_data]" displayFolder="" count="0" memberValueDatatype="20" unbalanced="0"/>
    <cacheHierarchy uniqueName="[social_media_data].[Production_Cost]" caption="Production_Cost" attribute="1" defaultMemberUniqueName="[social_media_data].[Production_Cost].[All]" allUniqueName="[social_media_data].[Production_Cost].[All]" dimensionUniqueName="[social_media_data]" displayFolder="" count="0" memberValueDatatype="20" unbalanced="0"/>
    <cacheHierarchy uniqueName="[social_media_data].[Promotion_Budget]" caption="Promotion_Budget" attribute="1" defaultMemberUniqueName="[social_media_data].[Promotion_Budget].[All]" allUniqueName="[social_media_data].[Promotion_Budget].[All]" dimensionUniqueName="[social_media_data]" displayFolder="" count="0" memberValueDatatype="20" unbalanced="0"/>
    <cacheHierarchy uniqueName="[social_media_data].[Reach]" caption="Reach" attribute="1" defaultMemberUniqueName="[social_media_data].[Reach].[All]" allUniqueName="[social_media_data].[Reach].[All]" dimensionUniqueName="[social_media_data]" displayFolder="" count="0" memberValueDatatype="20" unbalanced="0"/>
    <cacheHierarchy uniqueName="[social_media_data].[Frequency]" caption="Frequency" attribute="1" defaultMemberUniqueName="[social_media_data].[Frequency].[All]" allUniqueName="[social_media_data].[Frequency].[All]" dimensionUniqueName="[social_media_data]" displayFolder="" count="0" memberValueDatatype="5" unbalanced="0"/>
    <cacheHierarchy uniqueName="[social_media_data].[Impressions]" caption="Impressions" attribute="1" defaultMemberUniqueName="[social_media_data].[Impressions].[All]" allUniqueName="[social_media_data].[Impressions].[All]" dimensionUniqueName="[social_media_data]" displayFolder="" count="0" memberValueDatatype="20" unbalanced="0"/>
    <cacheHierarchy uniqueName="[social_media_data].[Likes]" caption="Likes" attribute="1" defaultMemberUniqueName="[social_media_data].[Likes].[All]" allUniqueName="[social_media_data].[Likes].[All]" dimensionUniqueName="[social_media_data]" displayFolder="" count="0" memberValueDatatype="20" unbalanced="0"/>
    <cacheHierarchy uniqueName="[social_media_data].[Comments]" caption="Comments" attribute="1" defaultMemberUniqueName="[social_media_data].[Comments].[All]" allUniqueName="[social_media_data].[Comments].[All]" dimensionUniqueName="[social_media_data]" displayFolder="" count="0" memberValueDatatype="20" unbalanced="0"/>
    <cacheHierarchy uniqueName="[social_media_data].[Shares]" caption="Shares" attribute="1" defaultMemberUniqueName="[social_media_data].[Shares].[All]" allUniqueName="[social_media_data].[Shares].[All]" dimensionUniqueName="[social_media_data]" displayFolder="" count="0" memberValueDatatype="20" unbalanced="0"/>
    <cacheHierarchy uniqueName="[social_media_data].[Saves]" caption="Saves" attribute="1" defaultMemberUniqueName="[social_media_data].[Saves].[All]" allUniqueName="[social_media_data].[Saves].[All]" dimensionUniqueName="[social_media_data]" displayFolder="" count="0" memberValueDatatype="20" unbalanced="0"/>
    <cacheHierarchy uniqueName="[social_media_data].[Link_Clicks]" caption="Link_Clicks" attribute="1" defaultMemberUniqueName="[social_media_data].[Link_Clicks].[All]" allUniqueName="[social_media_data].[Link_Clicks].[All]" dimensionUniqueName="[social_media_data]" displayFolder="" count="0" memberValueDatatype="20" unbalanced="0"/>
    <cacheHierarchy uniqueName="[social_media_data].[Followers_Gained]" caption="Followers_Gained" attribute="1" defaultMemberUniqueName="[social_media_data].[Followers_Gained].[All]" allUniqueName="[social_media_data].[Followers_Gained].[All]" dimensionUniqueName="[social_media_data]" displayFolder="" count="0" memberValueDatatype="20" unbalanced="0"/>
    <cacheHierarchy uniqueName="[social_media_data].[Caption_Length_Bucket]" caption="Caption_Length_Bucket" attribute="1" defaultMemberUniqueName="[social_media_data].[Caption_Length_Bucket].[All]" allUniqueName="[social_media_data].[Caption_Length_Bucket].[All]" dimensionUniqueName="[social_media_data]" displayFolder="" count="0" memberValueDatatype="130" unbalanced="0"/>
    <cacheHierarchy uniqueName="[social_media_data].[Engagements]" caption="Engagements" attribute="1" defaultMemberUniqueName="[social_media_data].[Engagements].[All]" allUniqueName="[social_media_data].[Engagements].[All]" dimensionUniqueName="[social_media_data]" displayFolder="" count="0" memberValueDatatype="20" unbalanced="0"/>
    <cacheHierarchy uniqueName="[social_media_data].[Is_Viral]" caption="Is_Viral" attribute="1" defaultMemberUniqueName="[social_media_data].[Is_Viral].[All]" allUniqueName="[social_media_data].[Is_Viral].[All]" dimensionUniqueName="[social_media_data]" displayFolder="" count="0" memberValueDatatype="130" unbalanced="0"/>
    <cacheHierarchy uniqueName="[Measures].[Total Engagement]" caption="Total Engagement" measure="1" displayFolder="" measureGroup="social_media_data" count="0" oneField="1">
      <fieldsUsage count="1">
        <fieldUsage x="5"/>
      </fieldsUsage>
    </cacheHierarchy>
    <cacheHierarchy uniqueName="[Measures].[Total Impressions]" caption="Total Impressions" measure="1" displayFolder="" measureGroup="social_media_data" count="0"/>
    <cacheHierarchy uniqueName="[Measures].[Total Reach]" caption="Total Reach" measure="1" displayFolder="" measureGroup="social_media_data" count="0"/>
    <cacheHierarchy uniqueName="[Measures].[Engagement Rate]" caption="Engagement Rate" measure="1" displayFolder="" measureGroup="social_media_data" count="0" oneField="1">
      <fieldsUsage count="1">
        <fieldUsage x="2"/>
      </fieldsUsage>
    </cacheHierarchy>
    <cacheHierarchy uniqueName="[Measures].[Total Cost]" caption="Total Cost" measure="1" displayFolder="" measureGroup="social_media_data" count="0" oneField="1">
      <fieldsUsage count="1">
        <fieldUsage x="4"/>
      </fieldsUsage>
    </cacheHierarchy>
    <cacheHierarchy uniqueName="[Measures].[Average Engagement]" caption="Average Engagement" measure="1" displayFolder="" measureGroup="social_media_data" count="0"/>
    <cacheHierarchy uniqueName="[Measures].[Total Posts]" caption="Total Posts" measure="1" displayFolder="" measureGroup="social_media_data" count="0" oneField="1">
      <fieldsUsage count="1">
        <fieldUsage x="1"/>
      </fieldsUsage>
    </cacheHierarchy>
    <cacheHierarchy uniqueName="[Measures].[Likes %]" caption="Likes %" measure="1" displayFolder="" measureGroup="social_media_data" count="0"/>
    <cacheHierarchy uniqueName="[Measures].[Comment %]" caption="Comment %" measure="1" displayFolder="" measureGroup="social_media_data" count="0"/>
    <cacheHierarchy uniqueName="[Measures].[Shares %]" caption="Shares %" measure="1" displayFolder="" measureGroup="social_media_data" count="0"/>
    <cacheHierarchy uniqueName="[Measures].[Saves %]" caption="Saves %" measure="1" displayFolder="" measureGroup="social_media_data" count="0"/>
    <cacheHierarchy uniqueName="[Measures].[Engagement Quality Score]" caption="Engagement Quality Score" measure="1" displayFolder="" measureGroup="social_media_data" count="0"/>
    <cacheHierarchy uniqueName="[Measures].[Total Followers]" caption="Total Followers" measure="1" displayFolder="" measureGroup="social_media_data" count="0" oneField="1">
      <fieldsUsage count="1">
        <fieldUsage x="3"/>
      </fieldsUsage>
    </cacheHierarchy>
    <cacheHierarchy uniqueName="[Measures].[Avg Reach]" caption="Avg Reach" measure="1" displayFolder="" measureGroup="social_media_data" count="0"/>
    <cacheHierarchy uniqueName="[Measures].[Cost Per Engagement]" caption="Cost Per Engagement" measure="1" displayFolder="" measureGroup="social_media_data" count="0"/>
    <cacheHierarchy uniqueName="[Measures].[CPM]" caption="CPM" measure="1" displayFolder="" measureGroup="social_media_data" count="0"/>
    <cacheHierarchy uniqueName="[Measures].[Cost Per Follower]" caption="Cost Per Follower" measure="1" displayFolder="" measureGroup="social_media_data" count="0"/>
    <cacheHierarchy uniqueName="[Measures].[Follower Conversion Rate]" caption="Follower Conversion Rate" measure="1" displayFolder="" measureGroup="social_media_data" count="0"/>
    <cacheHierarchy uniqueName="[Measures].[CTR]" caption="CTR" measure="1" displayFolder="" measureGroup="social_media_data" count="0"/>
    <cacheHierarchy uniqueName="[Measures].[ROI Engagement]" caption="ROI Engagement" measure="1" displayFolder="" measureGroup="social_media_data" count="0"/>
    <cacheHierarchy uniqueName="[Measures].[Campaign Efficiency Index]" caption="Campaign Efficiency Index" measure="1" displayFolder="" measureGroup="social_media_data" count="0"/>
    <cacheHierarchy uniqueName="[Measures].[__XL_Count social_media_data]" caption="__XL_Count social_media_data" measure="1" displayFolder="" measureGroup="social_media_data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social_media_data" uniqueName="[social_media_data]" caption="social_media_data"/>
  </dimensions>
  <measureGroups count="2">
    <measureGroup name="Calendar" caption="Calendar"/>
    <measureGroup name="social_media_data" caption="social_media_data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B2F037-0D65-4FBF-9146-360B912006E7}" name="PivotTable7" cacheId="298" applyNumberFormats="0" applyBorderFormats="0" applyFontFormats="0" applyPatternFormats="0" applyAlignmentFormats="0" applyWidthHeightFormats="1" dataCaption="Values" tag="5d2b5c5f-5795-4d45-b5f1-2ebd4dd755dc" updatedVersion="8" minRefreshableVersion="3" useAutoFormatting="1" subtotalHiddenItems="1" rowGrandTotals="0" itemPrintTitles="1" createdVersion="8" indent="0" outline="1" outlineData="1" multipleFieldFilters="0">
  <location ref="B41:G47" firstHeaderRow="0" firstDataRow="1" firstDataCol="1"/>
  <pivotFields count="6"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6">
    <i>
      <x v="5"/>
    </i>
    <i>
      <x v="4"/>
    </i>
    <i>
      <x v="3"/>
    </i>
    <i>
      <x v="2"/>
    </i>
    <i>
      <x v="1"/>
    </i>
    <i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2" subtotal="count" baseField="0" baseItem="0" numFmtId="10"/>
    <dataField fld="1" subtotal="count" baseField="0" baseItem="0"/>
    <dataField fld="3" subtotal="count" baseField="0" baseItem="0"/>
    <dataField fld="4" subtotal="count" baseField="0" baseItem="0" numFmtId="176"/>
    <dataField fld="5" subtotal="count" baseField="0" baseItem="0"/>
  </dataFields>
  <formats count="3">
    <format dxfId="43">
      <pivotArea outline="0" collapsedLevelsAreSubtotals="1" fieldPosition="0"/>
    </format>
    <format dxfId="2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conditionalFormats count="3"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3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4"/>
            </reference>
          </references>
        </pivotArea>
      </pivotAreas>
    </conditionalFormat>
  </conditionalFormats>
  <pivotHierarchies count="59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ocial_media_performance_data.xlsx!social_media_data">
        <x15:activeTabTopLevelEntity name="[social_media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7DB829-3710-4599-BFBC-B86495459C63}" name="PivotTable6" cacheId="258" applyNumberFormats="0" applyBorderFormats="0" applyFontFormats="0" applyPatternFormats="0" applyAlignmentFormats="0" applyWidthHeightFormats="1" dataCaption="Values" tag="5d2b5c5f-5795-4d45-b5f1-2ebd4dd755dc" updatedVersion="8" minRefreshableVersion="3" useAutoFormatting="1" subtotalHiddenItems="1" rowGrandTotals="0" colGrandTotals="0" itemPrintTitles="1" createdVersion="8" indent="0" outline="1" outlineData="1" multipleFieldFilters="0">
  <location ref="H33:J37" firstHeaderRow="0" firstDataRow="1" firstDataCol="1"/>
  <pivotFields count="4">
    <pivotField dataField="1" subtotalTop="0" showAll="0" defaultSubtotal="0"/>
    <pivotField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</pivotFields>
  <rowFields count="1">
    <field x="2"/>
  </rowFields>
  <rowItems count="4">
    <i>
      <x v="3"/>
    </i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fld="3" subtotal="count" baseField="0" baseItem="0"/>
    <dataField fld="0" subtotal="count" baseField="0" baseItem="0" numFmtId="10"/>
  </dataFields>
  <formats count="5">
    <format dxfId="80">
      <pivotArea outline="0" collapsedLevelsAreSubtotals="1" fieldPosition="0"/>
    </format>
    <format dxfId="61">
      <pivotArea collapsedLevelsAreSubtotals="1" fieldPosition="0">
        <references count="2">
          <reference field="4294967294" count="1" selected="0">
            <x v="0"/>
          </reference>
          <reference field="2" count="1">
            <x v="0"/>
          </reference>
        </references>
      </pivotArea>
    </format>
    <format dxfId="59">
      <pivotArea collapsedLevelsAreSubtotals="1" fieldPosition="0">
        <references count="2">
          <reference field="4294967294" count="1" selected="0">
            <x v="0"/>
          </reference>
          <reference field="2" count="1">
            <x v="1"/>
          </reference>
        </references>
      </pivotArea>
    </format>
    <format dxfId="57">
      <pivotArea collapsedLevelsAreSubtotals="1" fieldPosition="0">
        <references count="2">
          <reference field="4294967294" count="1" selected="0">
            <x v="0"/>
          </reference>
          <reference field="2" count="1">
            <x v="2"/>
          </reference>
        </references>
      </pivotArea>
    </format>
    <format dxfId="55">
      <pivotArea collapsedLevelsAreSubtotals="1" fieldPosition="0">
        <references count="2">
          <reference field="4294967294" count="1" selected="0">
            <x v="0"/>
          </reference>
          <reference field="2" count="1">
            <x v="3"/>
          </reference>
        </references>
      </pivotArea>
    </format>
  </formats>
  <conditionalFormats count="5">
    <conditionalFormat priority="4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priority="8">
      <pivotAreas count="1">
        <pivotArea type="data" outline="0" collapsedLevelsAreSubtotals="1" fieldPosition="0">
          <references count="2">
            <reference field="4294967294" count="1" selected="0">
              <x v="1"/>
            </reference>
            <reference field="2" count="1" selected="0">
              <x v="0"/>
            </reference>
          </references>
        </pivotArea>
      </pivotAreas>
    </conditionalFormat>
    <conditionalFormat priority="7">
      <pivotAreas count="1">
        <pivotArea type="data" outline="0" collapsedLevelsAreSubtotals="1" fieldPosition="0">
          <references count="2">
            <reference field="4294967294" count="1" selected="0">
              <x v="1"/>
            </reference>
            <reference field="2" count="1" selected="0">
              <x v="1"/>
            </reference>
          </references>
        </pivotArea>
      </pivotAreas>
    </conditionalFormat>
    <conditionalFormat priority="6">
      <pivotAreas count="1">
        <pivotArea type="data" outline="0" collapsedLevelsAreSubtotals="1" fieldPosition="0">
          <references count="2">
            <reference field="4294967294" count="1" selected="0">
              <x v="1"/>
            </reference>
            <reference field="2" count="1" selected="0">
              <x v="2"/>
            </reference>
          </references>
        </pivotArea>
      </pivotAreas>
    </conditionalFormat>
    <conditionalFormat priority="5">
      <pivotAreas count="1">
        <pivotArea type="data" outline="0" collapsedLevelsAreSubtotals="1" fieldPosition="0">
          <references count="2">
            <reference field="4294967294" count="1" selected="0">
              <x v="1"/>
            </reference>
            <reference field="2" count="1" selected="0">
              <x v="3"/>
            </reference>
          </references>
        </pivotArea>
      </pivotAreas>
    </conditionalFormat>
  </conditionalFormats>
  <pivotHierarchies count="59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ocial_media_performance_data.xlsx!social_media_data">
        <x15:activeTabTopLevelEntity name="[social_media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C7BD27-FCD3-42A9-A506-F35A5BB761DD}" name="PivotTable5" cacheId="239" applyNumberFormats="0" applyBorderFormats="0" applyFontFormats="0" applyPatternFormats="0" applyAlignmentFormats="0" applyWidthHeightFormats="1" dataCaption="Values" tag="5d2b5c5f-5795-4d45-b5f1-2ebd4dd755dc" updatedVersion="8" minRefreshableVersion="3" useAutoFormatting="1" subtotalHiddenItems="1" rowGrandTotals="0" colGrandTotals="0" itemPrintTitles="1" createdVersion="8" indent="0" outline="1" outlineData="1" multipleFieldFilters="0">
  <location ref="H25:L30" firstHeaderRow="1" firstDataRow="2" firstDataCol="1"/>
  <pivotFields count="3">
    <pivotField dataField="1" subtotalTop="0" showAll="0" defaultSubtotal="0"/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4">
    <i>
      <x v="2"/>
    </i>
    <i>
      <x v="1"/>
    </i>
    <i>
      <x v="3"/>
    </i>
    <i>
      <x/>
    </i>
  </rowItems>
  <colFields count="1">
    <field x="2"/>
  </colFields>
  <colItems count="4">
    <i>
      <x/>
    </i>
    <i>
      <x v="1"/>
    </i>
    <i>
      <x v="2"/>
    </i>
    <i>
      <x v="3"/>
    </i>
  </colItems>
  <dataFields count="1">
    <dataField fld="0" subtotal="count" baseField="0" baseItem="0" numFmtId="10"/>
  </dataFields>
  <formats count="1">
    <format dxfId="81">
      <pivotArea outline="0" collapsedLevelsAreSubtotals="1" fieldPosition="0"/>
    </format>
  </formats>
  <conditionalFormats count="5">
    <conditionalFormat priority="9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2" count="1" selected="0">
              <x v="0"/>
            </reference>
          </references>
        </pivotArea>
      </pivotAreas>
    </conditionalFormat>
    <conditionalFormat priority="12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2" count="1" selected="0">
              <x v="1"/>
            </reference>
          </references>
        </pivotArea>
      </pivotAreas>
    </conditionalFormat>
    <conditionalFormat priority="11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2" count="1" selected="0">
              <x v="2"/>
            </reference>
          </references>
        </pivotArea>
      </pivotAreas>
    </conditionalFormat>
    <conditionalFormat priority="10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2" count="1" selected="0">
              <x v="3"/>
            </reference>
          </references>
        </pivotArea>
      </pivotAreas>
    </conditionalFormat>
  </conditionalFormats>
  <pivotHierarchies count="59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1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ocial_media_performance_data.xlsx!social_media_data">
        <x15:activeTabTopLevelEntity name="[social_media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9F34DE-B567-4C24-8169-833BAC409AD9}" name="PivotTable4" cacheId="196" applyNumberFormats="0" applyBorderFormats="0" applyFontFormats="0" applyPatternFormats="0" applyAlignmentFormats="0" applyWidthHeightFormats="1" dataCaption="Values" tag="5d2b5c5f-5795-4d45-b5f1-2ebd4dd755dc" updatedVersion="8" minRefreshableVersion="3" useAutoFormatting="1" subtotalHiddenItems="1" rowGrandTotals="0" itemPrintTitles="1" createdVersion="8" indent="0" outline="1" outlineData="1" multipleFieldFilters="0">
  <location ref="B25:D29" firstHeaderRow="0" firstDataRow="1" firstDataCol="1"/>
  <pivotFields count="3"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0"/>
  </rowFields>
  <rowItems count="4">
    <i>
      <x v="2"/>
    </i>
    <i>
      <x v="1"/>
    </i>
    <i>
      <x v="3"/>
    </i>
    <i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formats count="4">
    <format dxfId="88">
      <pivotArea outline="0" collapsedLevelsAreSubtotals="1" fieldPosition="0"/>
    </format>
    <format dxfId="87">
      <pivotArea collapsedLevelsAreSubtotals="1" fieldPosition="0">
        <references count="1">
          <reference field="0" count="0"/>
        </references>
      </pivotArea>
    </format>
    <format dxfId="86">
      <pivotArea collapsedLevelsAreSubtotals="1" fieldPosition="0">
        <references count="2">
          <reference field="4294967294" count="1" selected="0">
            <x v="1"/>
          </reference>
          <reference field="0" count="1">
            <x v="0"/>
          </reference>
        </references>
      </pivotArea>
    </format>
    <format dxfId="85">
      <pivotArea collapsedLevelsAreSubtotals="1" fieldPosition="0">
        <references count="2">
          <reference field="4294967294" count="1" selected="0">
            <x v="1"/>
          </reference>
          <reference field="0" count="3">
            <x v="1"/>
            <x v="2"/>
            <x v="3"/>
          </reference>
        </references>
      </pivotArea>
    </format>
  </formats>
  <pivotHierarchies count="59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ocial_media_performance_data.xlsx!social_media_data">
        <x15:activeTabTopLevelEntity name="[social_media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37F2A5-0A06-4E18-9BD5-F0E0FC1C8350}" name="PivotTable3" cacheId="140" applyNumberFormats="0" applyBorderFormats="0" applyFontFormats="0" applyPatternFormats="0" applyAlignmentFormats="0" applyWidthHeightFormats="1" dataCaption="Values" tag="5d2b5c5f-5795-4d45-b5f1-2ebd4dd755dc" updatedVersion="8" minRefreshableVersion="3" useAutoFormatting="1" subtotalHiddenItems="1" itemPrintTitles="1" createdVersion="8" indent="0" outline="1" outlineData="1" multipleFieldFilters="0">
  <location ref="A12:F13" firstHeaderRow="0" firstDataRow="1" firstDataCol="0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fld="0" subtotal="count" baseField="0" baseItem="0" numFmtId="176"/>
    <dataField fld="1" subtotal="count" baseField="0" baseItem="0" numFmtId="44"/>
    <dataField fld="2" subtotal="count" baseField="0" baseItem="0" numFmtId="44"/>
    <dataField fld="3" subtotal="count" baseField="0" baseItem="0" numFmtId="44"/>
    <dataField fld="5" subtotal="count" baseField="0" baseItem="0" numFmtId="4"/>
    <dataField fld="4" subtotal="count" baseField="0" baseItem="0" numFmtId="10"/>
  </dataFields>
  <formats count="6">
    <format dxfId="92">
      <pivotArea outline="0" collapsedLevelsAreSubtotals="1" fieldPosition="0"/>
    </format>
    <format dxfId="9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91">
      <pivotArea outline="0" collapsedLevelsAreSubtotals="1" fieldPosition="0">
        <references count="1">
          <reference field="4294967294" count="4" selected="0">
            <x v="1"/>
            <x v="2"/>
            <x v="3"/>
            <x v="5"/>
          </reference>
        </references>
      </pivotArea>
    </format>
    <format dxfId="90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89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8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Hierarchies count="59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ocial_media_performance_data.xlsx!social_media_data">
        <x15:activeTabTopLevelEntity name="[social_media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E15EA5-E360-4391-A8AA-31013DE55F54}" name="PivotTable2" cacheId="134" applyNumberFormats="0" applyBorderFormats="0" applyFontFormats="0" applyPatternFormats="0" applyAlignmentFormats="0" applyWidthHeightFormats="1" dataCaption="Values" tag="5d2b5c5f-5795-4d45-b5f1-2ebd4dd755dc" updatedVersion="8" minRefreshableVersion="3" useAutoFormatting="1" subtotalHiddenItems="1" itemPrintTitles="1" createdVersion="8" indent="0" outline="1" outlineData="1" multipleFieldFilters="0">
  <location ref="A8:H9" firstHeaderRow="0" firstDataRow="1" firstDataCol="0"/>
  <pivotFields count="8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fld="0" subtotal="count" baseField="0" baseItem="0" numFmtId="10"/>
    <dataField fld="1" subtotal="count" baseField="0" baseItem="0" numFmtId="172"/>
    <dataField fld="2" subtotal="count" baseField="0" baseItem="0" numFmtId="10"/>
    <dataField fld="3" subtotal="count" baseField="0" baseItem="0" numFmtId="10"/>
    <dataField fld="4" subtotal="count" baseField="0" baseItem="0" numFmtId="10"/>
    <dataField fld="5" subtotal="count" baseField="0" baseItem="0" numFmtId="10"/>
    <dataField fld="6" subtotal="count" baseField="0" baseItem="0" numFmtId="10"/>
    <dataField fld="7" subtotal="count" baseField="0" baseItem="0" numFmtId="3"/>
  </dataFields>
  <formats count="11">
    <format dxfId="103">
      <pivotArea outline="0" collapsedLevelsAreSubtotals="1" fieldPosition="0"/>
    </format>
    <format dxfId="10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0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0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9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98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97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96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95">
      <pivotArea outline="0" collapsedLevelsAreSubtotals="1" fieldPosition="0">
        <references count="1">
          <reference field="4294967294" count="1" selected="0">
            <x v="7"/>
          </reference>
        </references>
      </pivotArea>
    </format>
    <format dxfId="94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82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</formats>
  <pivotHierarchies count="59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ocial_media_performance_data.xlsx!social_media_data">
        <x15:activeTabTopLevelEntity name="[social_media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BFE403-81B4-4762-B358-2D2B62257256}" name="PivotTable1" cacheId="131" applyNumberFormats="0" applyBorderFormats="0" applyFontFormats="0" applyPatternFormats="0" applyAlignmentFormats="0" applyWidthHeightFormats="1" dataCaption="Values" tag="5d2b5c5f-5795-4d45-b5f1-2ebd4dd755dc" updatedVersion="8" minRefreshableVersion="3" useAutoFormatting="1" subtotalHiddenItems="1" itemPrintTitles="1" createdVersion="8" indent="0" outline="1" outlineData="1" multipleFieldFilters="0">
  <location ref="A4:E5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</dataFields>
  <formats count="2">
    <format dxfId="104">
      <pivotArea outline="0" collapsedLevelsAreSubtotals="1" fieldPosition="0"/>
    </format>
    <format dxfId="8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Hierarchies count="59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ocial_media_performance_data.xlsx!social_media_data">
        <x15:activeTabTopLevelEntity name="[social_media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3BD0F6-5B54-464C-986D-153215395304}" name="PivotTable1" cacheId="1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Hierarchies count="59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ocial_media_performance_data.xlsx!social_media_data">
        <x15:activeTabTopLevelEntity name="[social_media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966B558-E17C-44C3-A8D2-16D7B4B2D30E}" autoFormatId="16" applyNumberFormats="0" applyBorderFormats="0" applyFontFormats="0" applyPatternFormats="0" applyAlignmentFormats="0" applyWidthHeightFormats="0">
  <queryTableRefresh nextId="28">
    <queryTableFields count="27">
      <queryTableField id="1" name="Post_ID" tableColumnId="1"/>
      <queryTableField id="2" name="Post_Date" tableColumnId="2"/>
      <queryTableField id="3" name="Post_Time" tableColumnId="3"/>
      <queryTableField id="4" name="Post_Time_Slot" tableColumnId="4"/>
      <queryTableField id="5" name="Platform" tableColumnId="5"/>
      <queryTableField id="6" name="Content_Type" tableColumnId="6"/>
      <queryTableField id="7" name="Campaign" tableColumnId="7"/>
      <queryTableField id="8" name="Is_Boosted" tableColumnId="8"/>
      <queryTableField id="9" name="Has_Link" tableColumnId="9"/>
      <queryTableField id="10" name="Hashtags_Count" tableColumnId="10"/>
      <queryTableField id="11" name="Video_Duration_Sec" tableColumnId="11"/>
      <queryTableField id="12" name="Image_Count" tableColumnId="12"/>
      <queryTableField id="13" name="Caption_Length" tableColumnId="13"/>
      <queryTableField id="14" name="Production_Cost" tableColumnId="14"/>
      <queryTableField id="15" name="Promotion_Budget" tableColumnId="15"/>
      <queryTableField id="16" name="Reach" tableColumnId="16"/>
      <queryTableField id="17" name="Frequency" tableColumnId="17"/>
      <queryTableField id="18" name="Impressions" tableColumnId="18"/>
      <queryTableField id="19" name="Likes" tableColumnId="19"/>
      <queryTableField id="20" name="Comments" tableColumnId="20"/>
      <queryTableField id="21" name="Shares" tableColumnId="21"/>
      <queryTableField id="22" name="Saves" tableColumnId="22"/>
      <queryTableField id="23" name="Link_Clicks" tableColumnId="23"/>
      <queryTableField id="24" name="Followers_Gained" tableColumnId="24"/>
      <queryTableField id="25" name="Caption_Length_Bucket" tableColumnId="25"/>
      <queryTableField id="26" name="Engagements" tableColumnId="26"/>
      <queryTableField id="27" name="Is_Viral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485A56-AAAA-4855-BB54-98876431998B}" name="social_media_data" displayName="social_media_data" ref="A1:AA451" tableType="queryTable" totalsRowShown="0">
  <autoFilter ref="A1:AA451" xr:uid="{B6485A56-AAAA-4855-BB54-98876431998B}"/>
  <tableColumns count="27">
    <tableColumn id="1" xr3:uid="{99D74B1F-01EE-4A6F-8FA6-983C4CE85275}" uniqueName="1" name="Post_ID" queryTableFieldId="1" dataDxfId="115"/>
    <tableColumn id="2" xr3:uid="{4ADC95F7-D622-4345-A1A0-BD3B83ECDBD1}" uniqueName="2" name="Post_Date" queryTableFieldId="2" dataDxfId="114"/>
    <tableColumn id="3" xr3:uid="{3B832492-665E-4C11-ABC2-D9CD221066C6}" uniqueName="3" name="Post_Time" queryTableFieldId="3" dataDxfId="113"/>
    <tableColumn id="4" xr3:uid="{593A3B6F-7CE9-4B74-8F2E-1712335D4F93}" uniqueName="4" name="Post_Time_Slot" queryTableFieldId="4" dataDxfId="112"/>
    <tableColumn id="5" xr3:uid="{A02B73A6-430D-4F1E-A7CE-9E5C65948099}" uniqueName="5" name="Platform" queryTableFieldId="5" dataDxfId="111"/>
    <tableColumn id="6" xr3:uid="{581BB65B-213D-484A-B1D1-68C53C08111A}" uniqueName="6" name="Content_Type" queryTableFieldId="6" dataDxfId="110"/>
    <tableColumn id="7" xr3:uid="{86761CC3-73C4-4C31-A89C-070CADAFFDEA}" uniqueName="7" name="Campaign" queryTableFieldId="7" dataDxfId="109"/>
    <tableColumn id="8" xr3:uid="{281E5DEE-F162-46E6-8143-F2691CAE9E5B}" uniqueName="8" name="Is_Boosted" queryTableFieldId="8" dataDxfId="108"/>
    <tableColumn id="9" xr3:uid="{FFA9DB40-C1A4-4925-8753-7E801797EE1F}" uniqueName="9" name="Has_Link" queryTableFieldId="9" dataDxfId="107"/>
    <tableColumn id="10" xr3:uid="{C7E37046-0290-4D2D-8F1B-A37D5B70FB94}" uniqueName="10" name="Hashtags_Count" queryTableFieldId="10"/>
    <tableColumn id="11" xr3:uid="{8C53885A-1F1E-4E06-94C7-8EA2F0883D1A}" uniqueName="11" name="Video_Duration_Sec" queryTableFieldId="11"/>
    <tableColumn id="12" xr3:uid="{2E173F62-57A3-4486-A21A-4E67A21E0CF0}" uniqueName="12" name="Image_Count" queryTableFieldId="12"/>
    <tableColumn id="13" xr3:uid="{F21CADC6-48A7-4D27-9505-29DBC824CA63}" uniqueName="13" name="Caption_Length" queryTableFieldId="13"/>
    <tableColumn id="14" xr3:uid="{527B5757-38F3-4225-B6D5-4A1CDBF1546D}" uniqueName="14" name="Production_Cost" queryTableFieldId="14"/>
    <tableColumn id="15" xr3:uid="{2B298009-19B1-4596-B627-E910932429F2}" uniqueName="15" name="Promotion_Budget" queryTableFieldId="15"/>
    <tableColumn id="16" xr3:uid="{B96CD640-D5D8-4494-A0A5-64C7CDD06A25}" uniqueName="16" name="Reach" queryTableFieldId="16"/>
    <tableColumn id="17" xr3:uid="{409C8AB1-4D1B-4D12-8C52-E4A26BE49F1F}" uniqueName="17" name="Frequency" queryTableFieldId="17"/>
    <tableColumn id="18" xr3:uid="{125464F9-A66C-4E57-A7C1-4E1619AD05CE}" uniqueName="18" name="Impressions" queryTableFieldId="18"/>
    <tableColumn id="19" xr3:uid="{472EAF57-8BC1-41EB-A727-6B9E8AD00626}" uniqueName="19" name="Likes" queryTableFieldId="19"/>
    <tableColumn id="20" xr3:uid="{7E074A8E-A4EB-442D-9558-DA3683D5EC74}" uniqueName="20" name="Comments" queryTableFieldId="20"/>
    <tableColumn id="21" xr3:uid="{5530F7CB-062C-4F60-AA20-E98F8967A3A0}" uniqueName="21" name="Shares" queryTableFieldId="21"/>
    <tableColumn id="22" xr3:uid="{2877B96B-5C9B-4914-A55E-B7C8F3984573}" uniqueName="22" name="Saves" queryTableFieldId="22"/>
    <tableColumn id="23" xr3:uid="{60568193-84BB-4156-8CCC-39BC4BCA1420}" uniqueName="23" name="Link_Clicks" queryTableFieldId="23"/>
    <tableColumn id="24" xr3:uid="{69A3338B-7AC6-4808-863A-215BF7E8D9FE}" uniqueName="24" name="Followers_Gained" queryTableFieldId="24"/>
    <tableColumn id="25" xr3:uid="{35D2C572-F665-4241-982A-A3C73165624F}" uniqueName="25" name="Caption_Length_Bucket" queryTableFieldId="25" dataDxfId="106"/>
    <tableColumn id="26" xr3:uid="{F722715E-BFC5-4BA7-A4AB-EDB91A0C64D2}" uniqueName="26" name="Engagements" queryTableFieldId="26"/>
    <tableColumn id="27" xr3:uid="{1B14A72C-43F4-4AF0-AED2-0B1FB94068CF}" uniqueName="27" name="Is_Viral" queryTableFieldId="27" dataDxfId="10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2C9D3-0227-4135-90EE-D32C2996B88F}">
  <sheetPr>
    <tabColor theme="4"/>
  </sheetPr>
  <dimension ref="A1:AA451"/>
  <sheetViews>
    <sheetView topLeftCell="J1" workbookViewId="0">
      <selection activeCell="AA7" sqref="AA7"/>
    </sheetView>
  </sheetViews>
  <sheetFormatPr defaultRowHeight="15" x14ac:dyDescent="0.25"/>
  <cols>
    <col min="1" max="1" width="10.42578125" bestFit="1" customWidth="1"/>
    <col min="2" max="2" width="14.5703125" style="1" bestFit="1" customWidth="1"/>
    <col min="3" max="3" width="12.5703125" style="2" bestFit="1" customWidth="1"/>
    <col min="4" max="4" width="17.140625" bestFit="1" customWidth="1"/>
    <col min="5" max="5" width="11" bestFit="1" customWidth="1"/>
    <col min="6" max="6" width="16" bestFit="1" customWidth="1"/>
    <col min="7" max="7" width="14.42578125" bestFit="1" customWidth="1"/>
    <col min="8" max="8" width="13.140625" bestFit="1" customWidth="1"/>
    <col min="9" max="9" width="11.28515625" bestFit="1" customWidth="1"/>
    <col min="10" max="10" width="18.140625" bestFit="1" customWidth="1"/>
    <col min="11" max="11" width="21.5703125" bestFit="1" customWidth="1"/>
    <col min="12" max="12" width="15.140625" bestFit="1" customWidth="1"/>
    <col min="13" max="13" width="17.5703125" bestFit="1" customWidth="1"/>
    <col min="14" max="14" width="18.42578125" bestFit="1" customWidth="1"/>
    <col min="15" max="15" width="20.140625" bestFit="1" customWidth="1"/>
    <col min="16" max="16" width="8.85546875" bestFit="1" customWidth="1"/>
    <col min="17" max="17" width="12.7109375" bestFit="1" customWidth="1"/>
    <col min="18" max="18" width="14.42578125" bestFit="1" customWidth="1"/>
    <col min="19" max="19" width="8" bestFit="1" customWidth="1"/>
    <col min="20" max="20" width="13.28515625" bestFit="1" customWidth="1"/>
    <col min="21" max="21" width="9.42578125" bestFit="1" customWidth="1"/>
    <col min="22" max="22" width="8.5703125" bestFit="1" customWidth="1"/>
    <col min="23" max="23" width="13.42578125" bestFit="1" customWidth="1"/>
    <col min="24" max="24" width="19.5703125" bestFit="1" customWidth="1"/>
    <col min="25" max="25" width="24.85546875" bestFit="1" customWidth="1"/>
    <col min="26" max="26" width="15.5703125" bestFit="1" customWidth="1"/>
    <col min="27" max="27" width="9.7109375" bestFit="1" customWidth="1"/>
  </cols>
  <sheetData>
    <row r="1" spans="1:27" x14ac:dyDescent="0.25">
      <c r="A1" t="s">
        <v>0</v>
      </c>
      <c r="B1" s="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494</v>
      </c>
      <c r="Z1" t="s">
        <v>495</v>
      </c>
      <c r="AA1" t="s">
        <v>496</v>
      </c>
    </row>
    <row r="2" spans="1:27" x14ac:dyDescent="0.25">
      <c r="A2" t="s">
        <v>24</v>
      </c>
      <c r="B2" s="1">
        <v>45717</v>
      </c>
      <c r="C2" s="2">
        <v>0.56180555555555556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29</v>
      </c>
      <c r="J2">
        <v>8</v>
      </c>
      <c r="K2">
        <v>0</v>
      </c>
      <c r="L2">
        <v>1</v>
      </c>
      <c r="M2">
        <v>123</v>
      </c>
      <c r="N2">
        <v>73</v>
      </c>
      <c r="O2">
        <v>0</v>
      </c>
      <c r="P2">
        <v>13120</v>
      </c>
      <c r="Q2">
        <v>1.02</v>
      </c>
      <c r="R2">
        <v>13360</v>
      </c>
      <c r="S2">
        <v>247</v>
      </c>
      <c r="T2">
        <v>30</v>
      </c>
      <c r="U2">
        <v>70</v>
      </c>
      <c r="V2">
        <v>6</v>
      </c>
      <c r="W2">
        <v>0</v>
      </c>
      <c r="X2">
        <v>31</v>
      </c>
      <c r="Y2" t="s">
        <v>497</v>
      </c>
      <c r="Z2">
        <v>353</v>
      </c>
      <c r="AA2" t="s">
        <v>498</v>
      </c>
    </row>
    <row r="3" spans="1:27" x14ac:dyDescent="0.25">
      <c r="A3" t="s">
        <v>30</v>
      </c>
      <c r="B3" s="1">
        <v>45718</v>
      </c>
      <c r="C3" s="2">
        <v>0.27986111111111112</v>
      </c>
      <c r="D3" t="s">
        <v>31</v>
      </c>
      <c r="E3" t="s">
        <v>32</v>
      </c>
      <c r="F3" t="s">
        <v>33</v>
      </c>
      <c r="G3" t="s">
        <v>28</v>
      </c>
      <c r="H3" t="s">
        <v>29</v>
      </c>
      <c r="I3" t="s">
        <v>29</v>
      </c>
      <c r="J3">
        <v>11</v>
      </c>
      <c r="K3">
        <v>0</v>
      </c>
      <c r="L3">
        <v>4</v>
      </c>
      <c r="M3">
        <v>266</v>
      </c>
      <c r="N3">
        <v>97</v>
      </c>
      <c r="O3">
        <v>0</v>
      </c>
      <c r="P3">
        <v>6812</v>
      </c>
      <c r="Q3">
        <v>1</v>
      </c>
      <c r="R3">
        <v>6812</v>
      </c>
      <c r="S3">
        <v>307</v>
      </c>
      <c r="T3">
        <v>52</v>
      </c>
      <c r="U3">
        <v>59</v>
      </c>
      <c r="V3">
        <v>40</v>
      </c>
      <c r="W3">
        <v>0</v>
      </c>
      <c r="X3">
        <v>17</v>
      </c>
      <c r="Y3" t="s">
        <v>499</v>
      </c>
      <c r="Z3">
        <v>458</v>
      </c>
      <c r="AA3" t="s">
        <v>498</v>
      </c>
    </row>
    <row r="4" spans="1:27" x14ac:dyDescent="0.25">
      <c r="A4" t="s">
        <v>34</v>
      </c>
      <c r="B4" s="1">
        <v>45718</v>
      </c>
      <c r="C4" s="2">
        <v>0.89930555555555558</v>
      </c>
      <c r="D4" t="s">
        <v>35</v>
      </c>
      <c r="E4" t="s">
        <v>26</v>
      </c>
      <c r="F4" t="s">
        <v>27</v>
      </c>
      <c r="G4" t="s">
        <v>28</v>
      </c>
      <c r="H4" t="s">
        <v>36</v>
      </c>
      <c r="I4" t="s">
        <v>36</v>
      </c>
      <c r="J4">
        <v>4</v>
      </c>
      <c r="K4">
        <v>0</v>
      </c>
      <c r="L4">
        <v>1</v>
      </c>
      <c r="M4">
        <v>184</v>
      </c>
      <c r="N4">
        <v>72</v>
      </c>
      <c r="O4">
        <v>346</v>
      </c>
      <c r="P4">
        <v>93539</v>
      </c>
      <c r="Q4">
        <v>1.3</v>
      </c>
      <c r="R4">
        <v>121949</v>
      </c>
      <c r="S4">
        <v>6903</v>
      </c>
      <c r="T4">
        <v>1147</v>
      </c>
      <c r="U4">
        <v>1707</v>
      </c>
      <c r="V4">
        <v>198</v>
      </c>
      <c r="W4">
        <v>2815</v>
      </c>
      <c r="X4">
        <v>130</v>
      </c>
      <c r="Y4" t="s">
        <v>497</v>
      </c>
      <c r="Z4">
        <v>12770</v>
      </c>
      <c r="AA4" t="s">
        <v>500</v>
      </c>
    </row>
    <row r="5" spans="1:27" x14ac:dyDescent="0.25">
      <c r="A5" t="s">
        <v>37</v>
      </c>
      <c r="B5" s="1">
        <v>45719</v>
      </c>
      <c r="C5" s="2">
        <v>0.70208333333333328</v>
      </c>
      <c r="D5" t="s">
        <v>38</v>
      </c>
      <c r="E5" t="s">
        <v>39</v>
      </c>
      <c r="F5" t="s">
        <v>33</v>
      </c>
      <c r="G5" t="s">
        <v>28</v>
      </c>
      <c r="H5" t="s">
        <v>29</v>
      </c>
      <c r="I5" t="s">
        <v>29</v>
      </c>
      <c r="J5">
        <v>2</v>
      </c>
      <c r="K5">
        <v>0</v>
      </c>
      <c r="L5">
        <v>8</v>
      </c>
      <c r="M5">
        <v>176</v>
      </c>
      <c r="N5">
        <v>192</v>
      </c>
      <c r="O5">
        <v>0</v>
      </c>
      <c r="P5">
        <v>7487</v>
      </c>
      <c r="Q5">
        <v>1.01</v>
      </c>
      <c r="R5">
        <v>7591</v>
      </c>
      <c r="S5">
        <v>20</v>
      </c>
      <c r="T5">
        <v>6</v>
      </c>
      <c r="U5">
        <v>8</v>
      </c>
      <c r="V5">
        <v>0</v>
      </c>
      <c r="W5">
        <v>0</v>
      </c>
      <c r="X5">
        <v>5</v>
      </c>
      <c r="Y5" t="s">
        <v>497</v>
      </c>
      <c r="Z5">
        <v>34</v>
      </c>
      <c r="AA5" t="s">
        <v>498</v>
      </c>
    </row>
    <row r="6" spans="1:27" x14ac:dyDescent="0.25">
      <c r="A6" t="s">
        <v>40</v>
      </c>
      <c r="B6" s="1">
        <v>45720</v>
      </c>
      <c r="C6" s="2">
        <v>0.72638888888888886</v>
      </c>
      <c r="D6" t="s">
        <v>38</v>
      </c>
      <c r="E6" t="s">
        <v>32</v>
      </c>
      <c r="F6" t="s">
        <v>27</v>
      </c>
      <c r="G6" t="s">
        <v>28</v>
      </c>
      <c r="H6" t="s">
        <v>29</v>
      </c>
      <c r="I6" t="s">
        <v>29</v>
      </c>
      <c r="J6">
        <v>8</v>
      </c>
      <c r="K6">
        <v>0</v>
      </c>
      <c r="L6">
        <v>1</v>
      </c>
      <c r="M6">
        <v>127</v>
      </c>
      <c r="N6">
        <v>183</v>
      </c>
      <c r="O6">
        <v>0</v>
      </c>
      <c r="P6">
        <v>2367</v>
      </c>
      <c r="Q6">
        <v>1.21</v>
      </c>
      <c r="R6">
        <v>2860</v>
      </c>
      <c r="S6">
        <v>176</v>
      </c>
      <c r="T6">
        <v>28</v>
      </c>
      <c r="U6">
        <v>39</v>
      </c>
      <c r="V6">
        <v>20</v>
      </c>
      <c r="W6">
        <v>0</v>
      </c>
      <c r="X6">
        <v>11</v>
      </c>
      <c r="Y6" t="s">
        <v>497</v>
      </c>
      <c r="Z6">
        <v>263</v>
      </c>
      <c r="AA6" t="s">
        <v>498</v>
      </c>
    </row>
    <row r="7" spans="1:27" x14ac:dyDescent="0.25">
      <c r="A7" t="s">
        <v>41</v>
      </c>
      <c r="B7" s="1">
        <v>45720</v>
      </c>
      <c r="C7" s="2">
        <v>0.92152777777777772</v>
      </c>
      <c r="D7" t="s">
        <v>35</v>
      </c>
      <c r="E7" t="s">
        <v>39</v>
      </c>
      <c r="F7" t="s">
        <v>42</v>
      </c>
      <c r="G7" t="s">
        <v>28</v>
      </c>
      <c r="H7" t="s">
        <v>29</v>
      </c>
      <c r="I7" t="s">
        <v>29</v>
      </c>
      <c r="J7">
        <v>2</v>
      </c>
      <c r="K7">
        <v>0</v>
      </c>
      <c r="L7">
        <v>1</v>
      </c>
      <c r="M7">
        <v>164</v>
      </c>
      <c r="N7">
        <v>44</v>
      </c>
      <c r="O7">
        <v>0</v>
      </c>
      <c r="P7">
        <v>10023</v>
      </c>
      <c r="Q7">
        <v>1.1100000000000001</v>
      </c>
      <c r="R7">
        <v>11123</v>
      </c>
      <c r="S7">
        <v>205</v>
      </c>
      <c r="T7">
        <v>70</v>
      </c>
      <c r="U7">
        <v>81</v>
      </c>
      <c r="V7">
        <v>0</v>
      </c>
      <c r="W7">
        <v>0</v>
      </c>
      <c r="X7">
        <v>9</v>
      </c>
      <c r="Y7" t="s">
        <v>497</v>
      </c>
      <c r="Z7">
        <v>356</v>
      </c>
      <c r="AA7" t="s">
        <v>498</v>
      </c>
    </row>
    <row r="8" spans="1:27" x14ac:dyDescent="0.25">
      <c r="A8" t="s">
        <v>43</v>
      </c>
      <c r="B8" s="1">
        <v>45723</v>
      </c>
      <c r="C8" s="2">
        <v>0.30833333333333335</v>
      </c>
      <c r="D8" t="s">
        <v>31</v>
      </c>
      <c r="E8" t="s">
        <v>39</v>
      </c>
      <c r="F8" t="s">
        <v>27</v>
      </c>
      <c r="G8" t="s">
        <v>28</v>
      </c>
      <c r="H8" t="s">
        <v>29</v>
      </c>
      <c r="I8" t="s">
        <v>36</v>
      </c>
      <c r="J8">
        <v>4</v>
      </c>
      <c r="K8">
        <v>0</v>
      </c>
      <c r="L8">
        <v>1</v>
      </c>
      <c r="M8">
        <v>104</v>
      </c>
      <c r="N8">
        <v>118</v>
      </c>
      <c r="O8">
        <v>0</v>
      </c>
      <c r="P8">
        <v>7591</v>
      </c>
      <c r="Q8">
        <v>1.1499999999999999</v>
      </c>
      <c r="R8">
        <v>8757</v>
      </c>
      <c r="S8">
        <v>140</v>
      </c>
      <c r="T8">
        <v>50</v>
      </c>
      <c r="U8">
        <v>69</v>
      </c>
      <c r="V8">
        <v>0</v>
      </c>
      <c r="W8">
        <v>127</v>
      </c>
      <c r="X8">
        <v>11</v>
      </c>
      <c r="Y8" t="s">
        <v>497</v>
      </c>
      <c r="Z8">
        <v>386</v>
      </c>
      <c r="AA8" t="s">
        <v>498</v>
      </c>
    </row>
    <row r="9" spans="1:27" x14ac:dyDescent="0.25">
      <c r="A9" t="s">
        <v>44</v>
      </c>
      <c r="B9" s="1">
        <v>45723</v>
      </c>
      <c r="C9" s="2">
        <v>0.59930555555555554</v>
      </c>
      <c r="D9" t="s">
        <v>25</v>
      </c>
      <c r="E9" t="s">
        <v>26</v>
      </c>
      <c r="F9" t="s">
        <v>45</v>
      </c>
      <c r="G9" t="s">
        <v>28</v>
      </c>
      <c r="H9" t="s">
        <v>29</v>
      </c>
      <c r="I9" t="s">
        <v>29</v>
      </c>
      <c r="J9">
        <v>7</v>
      </c>
      <c r="K9">
        <v>60</v>
      </c>
      <c r="L9">
        <v>1</v>
      </c>
      <c r="M9">
        <v>157</v>
      </c>
      <c r="N9">
        <v>167</v>
      </c>
      <c r="O9">
        <v>0</v>
      </c>
      <c r="P9">
        <v>13697</v>
      </c>
      <c r="Q9">
        <v>1.01</v>
      </c>
      <c r="R9">
        <v>13834</v>
      </c>
      <c r="S9">
        <v>1458</v>
      </c>
      <c r="T9">
        <v>185</v>
      </c>
      <c r="U9">
        <v>313</v>
      </c>
      <c r="V9">
        <v>38</v>
      </c>
      <c r="W9">
        <v>0</v>
      </c>
      <c r="X9">
        <v>6</v>
      </c>
      <c r="Y9" t="s">
        <v>497</v>
      </c>
      <c r="Z9">
        <v>1994</v>
      </c>
      <c r="AA9" t="s">
        <v>498</v>
      </c>
    </row>
    <row r="10" spans="1:27" x14ac:dyDescent="0.25">
      <c r="A10" t="s">
        <v>46</v>
      </c>
      <c r="B10" s="1">
        <v>45726</v>
      </c>
      <c r="C10" s="2">
        <v>0.26944444444444443</v>
      </c>
      <c r="D10" t="s">
        <v>31</v>
      </c>
      <c r="E10" t="s">
        <v>39</v>
      </c>
      <c r="F10" t="s">
        <v>42</v>
      </c>
      <c r="G10" t="s">
        <v>28</v>
      </c>
      <c r="H10" t="s">
        <v>36</v>
      </c>
      <c r="I10" t="s">
        <v>29</v>
      </c>
      <c r="J10">
        <v>4</v>
      </c>
      <c r="K10">
        <v>0</v>
      </c>
      <c r="L10">
        <v>1</v>
      </c>
      <c r="M10">
        <v>374</v>
      </c>
      <c r="N10">
        <v>60</v>
      </c>
      <c r="O10">
        <v>486</v>
      </c>
      <c r="P10">
        <v>14425</v>
      </c>
      <c r="Q10">
        <v>1.69</v>
      </c>
      <c r="R10">
        <v>24436</v>
      </c>
      <c r="S10">
        <v>581</v>
      </c>
      <c r="T10">
        <v>177</v>
      </c>
      <c r="U10">
        <v>270</v>
      </c>
      <c r="V10">
        <v>0</v>
      </c>
      <c r="W10">
        <v>0</v>
      </c>
      <c r="X10">
        <v>1</v>
      </c>
      <c r="Y10" t="s">
        <v>499</v>
      </c>
      <c r="Z10">
        <v>1028</v>
      </c>
      <c r="AA10" t="s">
        <v>498</v>
      </c>
    </row>
    <row r="11" spans="1:27" x14ac:dyDescent="0.25">
      <c r="A11" t="s">
        <v>47</v>
      </c>
      <c r="B11" s="1">
        <v>45726</v>
      </c>
      <c r="C11" s="2">
        <v>0.51041666666666663</v>
      </c>
      <c r="D11" t="s">
        <v>25</v>
      </c>
      <c r="E11" t="s">
        <v>48</v>
      </c>
      <c r="F11" t="s">
        <v>42</v>
      </c>
      <c r="G11" t="s">
        <v>28</v>
      </c>
      <c r="H11" t="s">
        <v>29</v>
      </c>
      <c r="I11" t="s">
        <v>36</v>
      </c>
      <c r="J11">
        <v>6</v>
      </c>
      <c r="K11">
        <v>0</v>
      </c>
      <c r="L11">
        <v>1</v>
      </c>
      <c r="M11">
        <v>460</v>
      </c>
      <c r="N11">
        <v>72</v>
      </c>
      <c r="O11">
        <v>0</v>
      </c>
      <c r="P11">
        <v>43162</v>
      </c>
      <c r="Q11">
        <v>1.03</v>
      </c>
      <c r="R11">
        <v>44315</v>
      </c>
      <c r="S11">
        <v>180</v>
      </c>
      <c r="T11">
        <v>48</v>
      </c>
      <c r="U11">
        <v>64</v>
      </c>
      <c r="V11">
        <v>18</v>
      </c>
      <c r="W11">
        <v>591</v>
      </c>
      <c r="X11">
        <v>2</v>
      </c>
      <c r="Y11" t="s">
        <v>499</v>
      </c>
      <c r="Z11">
        <v>901</v>
      </c>
      <c r="AA11" t="s">
        <v>498</v>
      </c>
    </row>
    <row r="12" spans="1:27" x14ac:dyDescent="0.25">
      <c r="A12" t="s">
        <v>49</v>
      </c>
      <c r="B12" s="1">
        <v>45726</v>
      </c>
      <c r="C12" s="2">
        <v>0.64375000000000004</v>
      </c>
      <c r="D12" t="s">
        <v>38</v>
      </c>
      <c r="E12" t="s">
        <v>32</v>
      </c>
      <c r="F12" t="s">
        <v>33</v>
      </c>
      <c r="G12" t="s">
        <v>28</v>
      </c>
      <c r="H12" t="s">
        <v>36</v>
      </c>
      <c r="I12" t="s">
        <v>29</v>
      </c>
      <c r="J12">
        <v>7</v>
      </c>
      <c r="K12">
        <v>0</v>
      </c>
      <c r="L12">
        <v>7</v>
      </c>
      <c r="M12">
        <v>123</v>
      </c>
      <c r="N12">
        <v>162</v>
      </c>
      <c r="O12">
        <v>358</v>
      </c>
      <c r="P12">
        <v>31202</v>
      </c>
      <c r="Q12">
        <v>1.95</v>
      </c>
      <c r="R12">
        <v>60828</v>
      </c>
      <c r="S12">
        <v>2493</v>
      </c>
      <c r="T12">
        <v>442</v>
      </c>
      <c r="U12">
        <v>622</v>
      </c>
      <c r="V12">
        <v>288</v>
      </c>
      <c r="W12">
        <v>0</v>
      </c>
      <c r="X12">
        <v>42</v>
      </c>
      <c r="Y12" t="s">
        <v>497</v>
      </c>
      <c r="Z12">
        <v>3845</v>
      </c>
      <c r="AA12" t="s">
        <v>498</v>
      </c>
    </row>
    <row r="13" spans="1:27" x14ac:dyDescent="0.25">
      <c r="A13" t="s">
        <v>50</v>
      </c>
      <c r="B13" s="1">
        <v>45727</v>
      </c>
      <c r="C13" s="2">
        <v>0.51458333333333328</v>
      </c>
      <c r="D13" t="s">
        <v>25</v>
      </c>
      <c r="E13" t="s">
        <v>32</v>
      </c>
      <c r="F13" t="s">
        <v>33</v>
      </c>
      <c r="G13" t="s">
        <v>28</v>
      </c>
      <c r="H13" t="s">
        <v>36</v>
      </c>
      <c r="I13" t="s">
        <v>29</v>
      </c>
      <c r="J13">
        <v>15</v>
      </c>
      <c r="K13">
        <v>0</v>
      </c>
      <c r="L13">
        <v>8</v>
      </c>
      <c r="M13">
        <v>165</v>
      </c>
      <c r="N13">
        <v>284</v>
      </c>
      <c r="O13">
        <v>298</v>
      </c>
      <c r="P13">
        <v>20840</v>
      </c>
      <c r="Q13">
        <v>1.54</v>
      </c>
      <c r="R13">
        <v>32022</v>
      </c>
      <c r="S13">
        <v>1530</v>
      </c>
      <c r="T13">
        <v>240</v>
      </c>
      <c r="U13">
        <v>355</v>
      </c>
      <c r="V13">
        <v>177</v>
      </c>
      <c r="W13">
        <v>0</v>
      </c>
      <c r="X13">
        <v>6</v>
      </c>
      <c r="Y13" t="s">
        <v>497</v>
      </c>
      <c r="Z13">
        <v>2302</v>
      </c>
      <c r="AA13" t="s">
        <v>498</v>
      </c>
    </row>
    <row r="14" spans="1:27" x14ac:dyDescent="0.25">
      <c r="A14" t="s">
        <v>51</v>
      </c>
      <c r="B14" s="1">
        <v>45727</v>
      </c>
      <c r="C14" s="2">
        <v>0.81527777777777777</v>
      </c>
      <c r="D14" t="s">
        <v>35</v>
      </c>
      <c r="E14" t="s">
        <v>32</v>
      </c>
      <c r="F14" t="s">
        <v>27</v>
      </c>
      <c r="G14" t="s">
        <v>28</v>
      </c>
      <c r="H14" t="s">
        <v>29</v>
      </c>
      <c r="I14" t="s">
        <v>36</v>
      </c>
      <c r="J14">
        <v>8</v>
      </c>
      <c r="K14">
        <v>0</v>
      </c>
      <c r="L14">
        <v>1</v>
      </c>
      <c r="M14">
        <v>86</v>
      </c>
      <c r="N14">
        <v>116</v>
      </c>
      <c r="O14">
        <v>0</v>
      </c>
      <c r="P14">
        <v>19020</v>
      </c>
      <c r="Q14">
        <v>1.48</v>
      </c>
      <c r="R14">
        <v>28238</v>
      </c>
      <c r="S14">
        <v>1119</v>
      </c>
      <c r="T14">
        <v>183</v>
      </c>
      <c r="U14">
        <v>278</v>
      </c>
      <c r="V14">
        <v>128</v>
      </c>
      <c r="W14">
        <v>694</v>
      </c>
      <c r="X14">
        <v>17</v>
      </c>
      <c r="Y14" t="s">
        <v>501</v>
      </c>
      <c r="Z14">
        <v>2402</v>
      </c>
      <c r="AA14" t="s">
        <v>498</v>
      </c>
    </row>
    <row r="15" spans="1:27" x14ac:dyDescent="0.25">
      <c r="A15" t="s">
        <v>52</v>
      </c>
      <c r="B15" s="1">
        <v>45728</v>
      </c>
      <c r="C15" s="2">
        <v>0.94652777777777775</v>
      </c>
      <c r="D15" t="s">
        <v>35</v>
      </c>
      <c r="E15" t="s">
        <v>39</v>
      </c>
      <c r="F15" t="s">
        <v>27</v>
      </c>
      <c r="G15" t="s">
        <v>28</v>
      </c>
      <c r="H15" t="s">
        <v>29</v>
      </c>
      <c r="I15" t="s">
        <v>36</v>
      </c>
      <c r="J15">
        <v>4</v>
      </c>
      <c r="K15">
        <v>0</v>
      </c>
      <c r="L15">
        <v>1</v>
      </c>
      <c r="M15">
        <v>168</v>
      </c>
      <c r="N15">
        <v>109</v>
      </c>
      <c r="O15">
        <v>0</v>
      </c>
      <c r="P15">
        <v>12564</v>
      </c>
      <c r="Q15">
        <v>1.07</v>
      </c>
      <c r="R15">
        <v>13445</v>
      </c>
      <c r="S15">
        <v>279</v>
      </c>
      <c r="T15">
        <v>86</v>
      </c>
      <c r="U15">
        <v>133</v>
      </c>
      <c r="V15">
        <v>0</v>
      </c>
      <c r="W15">
        <v>255</v>
      </c>
      <c r="X15">
        <v>8</v>
      </c>
      <c r="Y15" t="s">
        <v>497</v>
      </c>
      <c r="Z15">
        <v>753</v>
      </c>
      <c r="AA15" t="s">
        <v>498</v>
      </c>
    </row>
    <row r="16" spans="1:27" x14ac:dyDescent="0.25">
      <c r="A16" t="s">
        <v>53</v>
      </c>
      <c r="B16" s="1">
        <v>45731</v>
      </c>
      <c r="C16" s="2">
        <v>0.52500000000000002</v>
      </c>
      <c r="D16" t="s">
        <v>25</v>
      </c>
      <c r="E16" t="s">
        <v>48</v>
      </c>
      <c r="F16" t="s">
        <v>42</v>
      </c>
      <c r="G16" t="s">
        <v>28</v>
      </c>
      <c r="H16" t="s">
        <v>29</v>
      </c>
      <c r="I16" t="s">
        <v>29</v>
      </c>
      <c r="J16">
        <v>6</v>
      </c>
      <c r="K16">
        <v>0</v>
      </c>
      <c r="L16">
        <v>1</v>
      </c>
      <c r="M16">
        <v>308</v>
      </c>
      <c r="N16">
        <v>59</v>
      </c>
      <c r="O16">
        <v>0</v>
      </c>
      <c r="P16">
        <v>11982</v>
      </c>
      <c r="Q16">
        <v>1.06</v>
      </c>
      <c r="R16">
        <v>12751</v>
      </c>
      <c r="S16">
        <v>97</v>
      </c>
      <c r="T16">
        <v>23</v>
      </c>
      <c r="U16">
        <v>34</v>
      </c>
      <c r="V16">
        <v>7</v>
      </c>
      <c r="W16">
        <v>0</v>
      </c>
      <c r="X16">
        <v>2</v>
      </c>
      <c r="Y16" t="s">
        <v>499</v>
      </c>
      <c r="Z16">
        <v>161</v>
      </c>
      <c r="AA16" t="s">
        <v>498</v>
      </c>
    </row>
    <row r="17" spans="1:27" x14ac:dyDescent="0.25">
      <c r="A17" t="s">
        <v>54</v>
      </c>
      <c r="B17" s="1">
        <v>45733</v>
      </c>
      <c r="C17" s="2">
        <v>0.54305555555555551</v>
      </c>
      <c r="D17" t="s">
        <v>25</v>
      </c>
      <c r="E17" t="s">
        <v>32</v>
      </c>
      <c r="F17" t="s">
        <v>27</v>
      </c>
      <c r="G17" t="s">
        <v>28</v>
      </c>
      <c r="H17" t="s">
        <v>29</v>
      </c>
      <c r="I17" t="s">
        <v>36</v>
      </c>
      <c r="J17">
        <v>14</v>
      </c>
      <c r="K17">
        <v>0</v>
      </c>
      <c r="L17">
        <v>1</v>
      </c>
      <c r="M17">
        <v>210</v>
      </c>
      <c r="N17">
        <v>76</v>
      </c>
      <c r="O17">
        <v>0</v>
      </c>
      <c r="P17">
        <v>13721</v>
      </c>
      <c r="Q17">
        <v>1.1599999999999999</v>
      </c>
      <c r="R17">
        <v>15958</v>
      </c>
      <c r="S17">
        <v>422</v>
      </c>
      <c r="T17">
        <v>87</v>
      </c>
      <c r="U17">
        <v>87</v>
      </c>
      <c r="V17">
        <v>61</v>
      </c>
      <c r="W17">
        <v>326</v>
      </c>
      <c r="X17">
        <v>13</v>
      </c>
      <c r="Y17" t="s">
        <v>497</v>
      </c>
      <c r="Z17">
        <v>983</v>
      </c>
      <c r="AA17" t="s">
        <v>498</v>
      </c>
    </row>
    <row r="18" spans="1:27" x14ac:dyDescent="0.25">
      <c r="A18" t="s">
        <v>55</v>
      </c>
      <c r="B18" s="1">
        <v>45734</v>
      </c>
      <c r="C18" s="2">
        <v>0.67152777777777772</v>
      </c>
      <c r="D18" t="s">
        <v>38</v>
      </c>
      <c r="E18" t="s">
        <v>48</v>
      </c>
      <c r="F18" t="s">
        <v>27</v>
      </c>
      <c r="G18" t="s">
        <v>28</v>
      </c>
      <c r="H18" t="s">
        <v>29</v>
      </c>
      <c r="I18" t="s">
        <v>36</v>
      </c>
      <c r="J18">
        <v>3</v>
      </c>
      <c r="K18">
        <v>0</v>
      </c>
      <c r="L18">
        <v>1</v>
      </c>
      <c r="M18">
        <v>129</v>
      </c>
      <c r="N18">
        <v>98</v>
      </c>
      <c r="O18">
        <v>0</v>
      </c>
      <c r="P18">
        <v>12866</v>
      </c>
      <c r="Q18">
        <v>1</v>
      </c>
      <c r="R18">
        <v>12866</v>
      </c>
      <c r="S18">
        <v>164</v>
      </c>
      <c r="T18">
        <v>36</v>
      </c>
      <c r="U18">
        <v>57</v>
      </c>
      <c r="V18">
        <v>11</v>
      </c>
      <c r="W18">
        <v>271</v>
      </c>
      <c r="X18">
        <v>6</v>
      </c>
      <c r="Y18" t="s">
        <v>497</v>
      </c>
      <c r="Z18">
        <v>539</v>
      </c>
      <c r="AA18" t="s">
        <v>498</v>
      </c>
    </row>
    <row r="19" spans="1:27" x14ac:dyDescent="0.25">
      <c r="A19" t="s">
        <v>56</v>
      </c>
      <c r="B19" s="1">
        <v>45735</v>
      </c>
      <c r="C19" s="2">
        <v>0.91874999999999996</v>
      </c>
      <c r="D19" t="s">
        <v>35</v>
      </c>
      <c r="E19" t="s">
        <v>26</v>
      </c>
      <c r="F19" t="s">
        <v>27</v>
      </c>
      <c r="G19" t="s">
        <v>28</v>
      </c>
      <c r="H19" t="s">
        <v>29</v>
      </c>
      <c r="I19" t="s">
        <v>36</v>
      </c>
      <c r="J19">
        <v>3</v>
      </c>
      <c r="K19">
        <v>0</v>
      </c>
      <c r="L19">
        <v>1</v>
      </c>
      <c r="M19">
        <v>169</v>
      </c>
      <c r="N19">
        <v>115</v>
      </c>
      <c r="O19">
        <v>0</v>
      </c>
      <c r="P19">
        <v>81163</v>
      </c>
      <c r="Q19">
        <v>1.21</v>
      </c>
      <c r="R19">
        <v>98366</v>
      </c>
      <c r="S19">
        <v>972</v>
      </c>
      <c r="T19">
        <v>149</v>
      </c>
      <c r="U19">
        <v>297</v>
      </c>
      <c r="V19">
        <v>28</v>
      </c>
      <c r="W19">
        <v>2454</v>
      </c>
      <c r="X19">
        <v>117</v>
      </c>
      <c r="Y19" t="s">
        <v>497</v>
      </c>
      <c r="Z19">
        <v>3900</v>
      </c>
      <c r="AA19" t="s">
        <v>498</v>
      </c>
    </row>
    <row r="20" spans="1:27" x14ac:dyDescent="0.25">
      <c r="A20" t="s">
        <v>57</v>
      </c>
      <c r="B20" s="1">
        <v>45737</v>
      </c>
      <c r="C20" s="2">
        <v>0.60277777777777775</v>
      </c>
      <c r="D20" t="s">
        <v>25</v>
      </c>
      <c r="E20" t="s">
        <v>26</v>
      </c>
      <c r="F20" t="s">
        <v>27</v>
      </c>
      <c r="G20" t="s">
        <v>28</v>
      </c>
      <c r="H20" t="s">
        <v>29</v>
      </c>
      <c r="I20" t="s">
        <v>29</v>
      </c>
      <c r="J20">
        <v>6</v>
      </c>
      <c r="K20">
        <v>0</v>
      </c>
      <c r="L20">
        <v>1</v>
      </c>
      <c r="M20">
        <v>184</v>
      </c>
      <c r="N20">
        <v>160</v>
      </c>
      <c r="O20">
        <v>0</v>
      </c>
      <c r="P20">
        <v>4127</v>
      </c>
      <c r="Q20">
        <v>1.41</v>
      </c>
      <c r="R20">
        <v>5829</v>
      </c>
      <c r="S20">
        <v>163</v>
      </c>
      <c r="T20">
        <v>21</v>
      </c>
      <c r="U20">
        <v>38</v>
      </c>
      <c r="V20">
        <v>4</v>
      </c>
      <c r="W20">
        <v>0</v>
      </c>
      <c r="X20">
        <v>3</v>
      </c>
      <c r="Y20" t="s">
        <v>497</v>
      </c>
      <c r="Z20">
        <v>226</v>
      </c>
      <c r="AA20" t="s">
        <v>498</v>
      </c>
    </row>
    <row r="21" spans="1:27" x14ac:dyDescent="0.25">
      <c r="A21" t="s">
        <v>58</v>
      </c>
      <c r="B21" s="1">
        <v>45739</v>
      </c>
      <c r="C21" s="2">
        <v>0.7895833333333333</v>
      </c>
      <c r="D21" t="s">
        <v>38</v>
      </c>
      <c r="E21" t="s">
        <v>26</v>
      </c>
      <c r="F21" t="s">
        <v>45</v>
      </c>
      <c r="G21" t="s">
        <v>28</v>
      </c>
      <c r="H21" t="s">
        <v>29</v>
      </c>
      <c r="I21" t="s">
        <v>29</v>
      </c>
      <c r="J21">
        <v>4</v>
      </c>
      <c r="K21">
        <v>23</v>
      </c>
      <c r="L21">
        <v>1</v>
      </c>
      <c r="M21">
        <v>179</v>
      </c>
      <c r="N21">
        <v>331</v>
      </c>
      <c r="O21">
        <v>0</v>
      </c>
      <c r="P21">
        <v>38320</v>
      </c>
      <c r="Q21">
        <v>1.08</v>
      </c>
      <c r="R21">
        <v>41471</v>
      </c>
      <c r="S21">
        <v>2935</v>
      </c>
      <c r="T21">
        <v>481</v>
      </c>
      <c r="U21">
        <v>711</v>
      </c>
      <c r="V21">
        <v>93</v>
      </c>
      <c r="W21">
        <v>0</v>
      </c>
      <c r="X21">
        <v>98</v>
      </c>
      <c r="Y21" t="s">
        <v>497</v>
      </c>
      <c r="Z21">
        <v>4220</v>
      </c>
      <c r="AA21" t="s">
        <v>498</v>
      </c>
    </row>
    <row r="22" spans="1:27" x14ac:dyDescent="0.25">
      <c r="A22" t="s">
        <v>59</v>
      </c>
      <c r="B22" s="1">
        <v>45740</v>
      </c>
      <c r="C22" s="2">
        <v>0.48819444444444443</v>
      </c>
      <c r="D22" t="s">
        <v>25</v>
      </c>
      <c r="E22" t="s">
        <v>48</v>
      </c>
      <c r="F22" t="s">
        <v>42</v>
      </c>
      <c r="G22" t="s">
        <v>28</v>
      </c>
      <c r="H22" t="s">
        <v>29</v>
      </c>
      <c r="I22" t="s">
        <v>36</v>
      </c>
      <c r="J22">
        <v>4</v>
      </c>
      <c r="K22">
        <v>0</v>
      </c>
      <c r="L22">
        <v>1</v>
      </c>
      <c r="M22">
        <v>158</v>
      </c>
      <c r="N22">
        <v>62</v>
      </c>
      <c r="O22">
        <v>0</v>
      </c>
      <c r="P22">
        <v>9821</v>
      </c>
      <c r="Q22">
        <v>1.03</v>
      </c>
      <c r="R22">
        <v>10085</v>
      </c>
      <c r="S22">
        <v>77</v>
      </c>
      <c r="T22">
        <v>18</v>
      </c>
      <c r="U22">
        <v>21</v>
      </c>
      <c r="V22">
        <v>5</v>
      </c>
      <c r="W22">
        <v>127</v>
      </c>
      <c r="X22">
        <v>6</v>
      </c>
      <c r="Y22" t="s">
        <v>497</v>
      </c>
      <c r="Z22">
        <v>248</v>
      </c>
      <c r="AA22" t="s">
        <v>498</v>
      </c>
    </row>
    <row r="23" spans="1:27" x14ac:dyDescent="0.25">
      <c r="A23" t="s">
        <v>60</v>
      </c>
      <c r="B23" s="1">
        <v>45740</v>
      </c>
      <c r="C23" s="2">
        <v>0.49305555555555558</v>
      </c>
      <c r="D23" t="s">
        <v>25</v>
      </c>
      <c r="E23" t="s">
        <v>48</v>
      </c>
      <c r="F23" t="s">
        <v>42</v>
      </c>
      <c r="G23" t="s">
        <v>28</v>
      </c>
      <c r="H23" t="s">
        <v>36</v>
      </c>
      <c r="I23" t="s">
        <v>29</v>
      </c>
      <c r="J23">
        <v>4</v>
      </c>
      <c r="K23">
        <v>0</v>
      </c>
      <c r="L23">
        <v>1</v>
      </c>
      <c r="M23">
        <v>193</v>
      </c>
      <c r="N23">
        <v>51</v>
      </c>
      <c r="O23">
        <v>394</v>
      </c>
      <c r="P23">
        <v>11617</v>
      </c>
      <c r="Q23">
        <v>1.47</v>
      </c>
      <c r="R23">
        <v>17050</v>
      </c>
      <c r="S23">
        <v>72</v>
      </c>
      <c r="T23">
        <v>18</v>
      </c>
      <c r="U23">
        <v>23</v>
      </c>
      <c r="V23">
        <v>6</v>
      </c>
      <c r="W23">
        <v>0</v>
      </c>
      <c r="X23">
        <v>8</v>
      </c>
      <c r="Y23" t="s">
        <v>497</v>
      </c>
      <c r="Z23">
        <v>119</v>
      </c>
      <c r="AA23" t="s">
        <v>498</v>
      </c>
    </row>
    <row r="24" spans="1:27" x14ac:dyDescent="0.25">
      <c r="A24" t="s">
        <v>61</v>
      </c>
      <c r="B24" s="1">
        <v>45740</v>
      </c>
      <c r="C24" s="2">
        <v>0.90486111111111112</v>
      </c>
      <c r="D24" t="s">
        <v>35</v>
      </c>
      <c r="E24" t="s">
        <v>26</v>
      </c>
      <c r="F24" t="s">
        <v>27</v>
      </c>
      <c r="G24" t="s">
        <v>28</v>
      </c>
      <c r="H24" t="s">
        <v>29</v>
      </c>
      <c r="I24" t="s">
        <v>29</v>
      </c>
      <c r="J24">
        <v>3</v>
      </c>
      <c r="K24">
        <v>0</v>
      </c>
      <c r="L24">
        <v>1</v>
      </c>
      <c r="M24">
        <v>169</v>
      </c>
      <c r="N24">
        <v>235</v>
      </c>
      <c r="O24">
        <v>0</v>
      </c>
      <c r="P24">
        <v>462</v>
      </c>
      <c r="Q24">
        <v>1.32</v>
      </c>
      <c r="R24">
        <v>607</v>
      </c>
      <c r="S24">
        <v>9</v>
      </c>
      <c r="T24">
        <v>1</v>
      </c>
      <c r="U24">
        <v>2</v>
      </c>
      <c r="V24">
        <v>0</v>
      </c>
      <c r="W24">
        <v>0</v>
      </c>
      <c r="X24">
        <v>0</v>
      </c>
      <c r="Y24" t="s">
        <v>497</v>
      </c>
      <c r="Z24">
        <v>12</v>
      </c>
      <c r="AA24" t="s">
        <v>498</v>
      </c>
    </row>
    <row r="25" spans="1:27" x14ac:dyDescent="0.25">
      <c r="A25" t="s">
        <v>62</v>
      </c>
      <c r="B25" s="1">
        <v>45741</v>
      </c>
      <c r="C25" s="2">
        <v>0.59097222222222223</v>
      </c>
      <c r="D25" t="s">
        <v>25</v>
      </c>
      <c r="E25" t="s">
        <v>26</v>
      </c>
      <c r="F25" t="s">
        <v>27</v>
      </c>
      <c r="G25" t="s">
        <v>28</v>
      </c>
      <c r="H25" t="s">
        <v>29</v>
      </c>
      <c r="I25" t="s">
        <v>29</v>
      </c>
      <c r="J25">
        <v>7</v>
      </c>
      <c r="K25">
        <v>0</v>
      </c>
      <c r="L25">
        <v>1</v>
      </c>
      <c r="M25">
        <v>183</v>
      </c>
      <c r="N25">
        <v>207</v>
      </c>
      <c r="O25">
        <v>0</v>
      </c>
      <c r="P25">
        <v>18951</v>
      </c>
      <c r="Q25">
        <v>1.1399999999999999</v>
      </c>
      <c r="R25">
        <v>21509</v>
      </c>
      <c r="S25">
        <v>352</v>
      </c>
      <c r="T25">
        <v>51</v>
      </c>
      <c r="U25">
        <v>91</v>
      </c>
      <c r="V25">
        <v>8</v>
      </c>
      <c r="W25">
        <v>0</v>
      </c>
      <c r="X25">
        <v>20</v>
      </c>
      <c r="Y25" t="s">
        <v>497</v>
      </c>
      <c r="Z25">
        <v>502</v>
      </c>
      <c r="AA25" t="s">
        <v>498</v>
      </c>
    </row>
    <row r="26" spans="1:27" x14ac:dyDescent="0.25">
      <c r="A26" t="s">
        <v>63</v>
      </c>
      <c r="B26" s="1">
        <v>45741</v>
      </c>
      <c r="C26" s="2">
        <v>0.88680555555555551</v>
      </c>
      <c r="D26" t="s">
        <v>35</v>
      </c>
      <c r="E26" t="s">
        <v>32</v>
      </c>
      <c r="F26" t="s">
        <v>27</v>
      </c>
      <c r="G26" t="s">
        <v>28</v>
      </c>
      <c r="H26" t="s">
        <v>29</v>
      </c>
      <c r="I26" t="s">
        <v>29</v>
      </c>
      <c r="J26">
        <v>11</v>
      </c>
      <c r="K26">
        <v>0</v>
      </c>
      <c r="L26">
        <v>1</v>
      </c>
      <c r="M26">
        <v>166</v>
      </c>
      <c r="N26">
        <v>119</v>
      </c>
      <c r="O26">
        <v>0</v>
      </c>
      <c r="P26">
        <v>16286</v>
      </c>
      <c r="Q26">
        <v>1.27</v>
      </c>
      <c r="R26">
        <v>20745</v>
      </c>
      <c r="S26">
        <v>907</v>
      </c>
      <c r="T26">
        <v>155</v>
      </c>
      <c r="U26">
        <v>210</v>
      </c>
      <c r="V26">
        <v>109</v>
      </c>
      <c r="W26">
        <v>0</v>
      </c>
      <c r="X26">
        <v>23</v>
      </c>
      <c r="Y26" t="s">
        <v>497</v>
      </c>
      <c r="Z26">
        <v>1381</v>
      </c>
      <c r="AA26" t="s">
        <v>498</v>
      </c>
    </row>
    <row r="27" spans="1:27" x14ac:dyDescent="0.25">
      <c r="A27" t="s">
        <v>64</v>
      </c>
      <c r="B27" s="1">
        <v>45743</v>
      </c>
      <c r="C27" s="2">
        <v>0.57222222222222219</v>
      </c>
      <c r="D27" t="s">
        <v>25</v>
      </c>
      <c r="E27" t="s">
        <v>39</v>
      </c>
      <c r="F27" t="s">
        <v>45</v>
      </c>
      <c r="G27" t="s">
        <v>28</v>
      </c>
      <c r="H27" t="s">
        <v>29</v>
      </c>
      <c r="I27" t="s">
        <v>29</v>
      </c>
      <c r="J27">
        <v>4</v>
      </c>
      <c r="K27">
        <v>43</v>
      </c>
      <c r="L27">
        <v>1</v>
      </c>
      <c r="M27">
        <v>127</v>
      </c>
      <c r="N27">
        <v>108</v>
      </c>
      <c r="O27">
        <v>0</v>
      </c>
      <c r="P27">
        <v>10285</v>
      </c>
      <c r="Q27">
        <v>1</v>
      </c>
      <c r="R27">
        <v>10285</v>
      </c>
      <c r="S27">
        <v>210</v>
      </c>
      <c r="T27">
        <v>76</v>
      </c>
      <c r="U27">
        <v>93</v>
      </c>
      <c r="V27">
        <v>0</v>
      </c>
      <c r="W27">
        <v>0</v>
      </c>
      <c r="X27">
        <v>10</v>
      </c>
      <c r="Y27" t="s">
        <v>497</v>
      </c>
      <c r="Z27">
        <v>379</v>
      </c>
      <c r="AA27" t="s">
        <v>498</v>
      </c>
    </row>
    <row r="28" spans="1:27" x14ac:dyDescent="0.25">
      <c r="A28" t="s">
        <v>65</v>
      </c>
      <c r="B28" s="1">
        <v>45743</v>
      </c>
      <c r="C28" s="2">
        <v>0.71736111111111112</v>
      </c>
      <c r="D28" t="s">
        <v>38</v>
      </c>
      <c r="E28" t="s">
        <v>32</v>
      </c>
      <c r="F28" t="s">
        <v>45</v>
      </c>
      <c r="G28" t="s">
        <v>28</v>
      </c>
      <c r="H28" t="s">
        <v>29</v>
      </c>
      <c r="I28" t="s">
        <v>29</v>
      </c>
      <c r="J28">
        <v>9</v>
      </c>
      <c r="K28">
        <v>77</v>
      </c>
      <c r="L28">
        <v>1</v>
      </c>
      <c r="M28">
        <v>143</v>
      </c>
      <c r="N28">
        <v>207</v>
      </c>
      <c r="O28">
        <v>0</v>
      </c>
      <c r="P28">
        <v>7156</v>
      </c>
      <c r="Q28">
        <v>1.0900000000000001</v>
      </c>
      <c r="R28">
        <v>7788</v>
      </c>
      <c r="S28">
        <v>183</v>
      </c>
      <c r="T28">
        <v>38</v>
      </c>
      <c r="U28">
        <v>51</v>
      </c>
      <c r="V28">
        <v>23</v>
      </c>
      <c r="W28">
        <v>0</v>
      </c>
      <c r="X28">
        <v>10</v>
      </c>
      <c r="Y28" t="s">
        <v>497</v>
      </c>
      <c r="Z28">
        <v>295</v>
      </c>
      <c r="AA28" t="s">
        <v>498</v>
      </c>
    </row>
    <row r="29" spans="1:27" x14ac:dyDescent="0.25">
      <c r="A29" t="s">
        <v>66</v>
      </c>
      <c r="B29" s="1">
        <v>45743</v>
      </c>
      <c r="C29" s="2">
        <v>0.75694444444444442</v>
      </c>
      <c r="D29" t="s">
        <v>38</v>
      </c>
      <c r="E29" t="s">
        <v>26</v>
      </c>
      <c r="F29" t="s">
        <v>45</v>
      </c>
      <c r="G29" t="s">
        <v>28</v>
      </c>
      <c r="H29" t="s">
        <v>29</v>
      </c>
      <c r="I29" t="s">
        <v>36</v>
      </c>
      <c r="J29">
        <v>7</v>
      </c>
      <c r="K29">
        <v>22</v>
      </c>
      <c r="L29">
        <v>1</v>
      </c>
      <c r="M29">
        <v>124</v>
      </c>
      <c r="N29">
        <v>223</v>
      </c>
      <c r="O29">
        <v>0</v>
      </c>
      <c r="P29">
        <v>18584</v>
      </c>
      <c r="Q29">
        <v>1.1499999999999999</v>
      </c>
      <c r="R29">
        <v>21451</v>
      </c>
      <c r="S29">
        <v>1215</v>
      </c>
      <c r="T29">
        <v>200</v>
      </c>
      <c r="U29">
        <v>335</v>
      </c>
      <c r="V29">
        <v>43</v>
      </c>
      <c r="W29">
        <v>674</v>
      </c>
      <c r="X29">
        <v>11</v>
      </c>
      <c r="Y29" t="s">
        <v>497</v>
      </c>
      <c r="Z29">
        <v>2467</v>
      </c>
      <c r="AA29" t="s">
        <v>498</v>
      </c>
    </row>
    <row r="30" spans="1:27" x14ac:dyDescent="0.25">
      <c r="A30" t="s">
        <v>67</v>
      </c>
      <c r="B30" s="1">
        <v>45743</v>
      </c>
      <c r="C30" s="2">
        <v>0.89652777777777781</v>
      </c>
      <c r="D30" t="s">
        <v>35</v>
      </c>
      <c r="E30" t="s">
        <v>39</v>
      </c>
      <c r="F30" t="s">
        <v>33</v>
      </c>
      <c r="G30" t="s">
        <v>28</v>
      </c>
      <c r="H30" t="s">
        <v>36</v>
      </c>
      <c r="I30" t="s">
        <v>29</v>
      </c>
      <c r="J30">
        <v>2</v>
      </c>
      <c r="K30">
        <v>0</v>
      </c>
      <c r="L30">
        <v>5</v>
      </c>
      <c r="M30">
        <v>233</v>
      </c>
      <c r="N30">
        <v>106</v>
      </c>
      <c r="O30">
        <v>352</v>
      </c>
      <c r="P30">
        <v>18042</v>
      </c>
      <c r="Q30">
        <v>1.65</v>
      </c>
      <c r="R30">
        <v>29817</v>
      </c>
      <c r="S30">
        <v>215</v>
      </c>
      <c r="T30">
        <v>90</v>
      </c>
      <c r="U30">
        <v>105</v>
      </c>
      <c r="V30">
        <v>0</v>
      </c>
      <c r="W30">
        <v>0</v>
      </c>
      <c r="X30">
        <v>6</v>
      </c>
      <c r="Y30" t="s">
        <v>497</v>
      </c>
      <c r="Z30">
        <v>410</v>
      </c>
      <c r="AA30" t="s">
        <v>498</v>
      </c>
    </row>
    <row r="31" spans="1:27" x14ac:dyDescent="0.25">
      <c r="A31" t="s">
        <v>68</v>
      </c>
      <c r="B31" s="1">
        <v>45744</v>
      </c>
      <c r="C31" s="2">
        <v>0.67847222222222225</v>
      </c>
      <c r="D31" t="s">
        <v>38</v>
      </c>
      <c r="E31" t="s">
        <v>39</v>
      </c>
      <c r="F31" t="s">
        <v>45</v>
      </c>
      <c r="G31" t="s">
        <v>28</v>
      </c>
      <c r="H31" t="s">
        <v>36</v>
      </c>
      <c r="I31" t="s">
        <v>36</v>
      </c>
      <c r="J31">
        <v>1</v>
      </c>
      <c r="K31">
        <v>105</v>
      </c>
      <c r="L31">
        <v>1</v>
      </c>
      <c r="M31">
        <v>102</v>
      </c>
      <c r="N31">
        <v>113</v>
      </c>
      <c r="O31">
        <v>405</v>
      </c>
      <c r="P31">
        <v>32482</v>
      </c>
      <c r="Q31">
        <v>1.66</v>
      </c>
      <c r="R31">
        <v>53981</v>
      </c>
      <c r="S31">
        <v>1064</v>
      </c>
      <c r="T31">
        <v>350</v>
      </c>
      <c r="U31">
        <v>499</v>
      </c>
      <c r="V31">
        <v>0</v>
      </c>
      <c r="W31">
        <v>1259</v>
      </c>
      <c r="X31">
        <v>27</v>
      </c>
      <c r="Y31" t="s">
        <v>497</v>
      </c>
      <c r="Z31">
        <v>3172</v>
      </c>
      <c r="AA31" t="s">
        <v>498</v>
      </c>
    </row>
    <row r="32" spans="1:27" x14ac:dyDescent="0.25">
      <c r="A32" t="s">
        <v>69</v>
      </c>
      <c r="B32" s="1">
        <v>45745</v>
      </c>
      <c r="C32" s="2">
        <v>0.57291666666666663</v>
      </c>
      <c r="D32" t="s">
        <v>25</v>
      </c>
      <c r="E32" t="s">
        <v>26</v>
      </c>
      <c r="F32" t="s">
        <v>45</v>
      </c>
      <c r="G32" t="s">
        <v>28</v>
      </c>
      <c r="H32" t="s">
        <v>29</v>
      </c>
      <c r="I32" t="s">
        <v>29</v>
      </c>
      <c r="J32">
        <v>3</v>
      </c>
      <c r="K32">
        <v>26</v>
      </c>
      <c r="L32">
        <v>1</v>
      </c>
      <c r="M32">
        <v>99</v>
      </c>
      <c r="N32">
        <v>204</v>
      </c>
      <c r="O32">
        <v>0</v>
      </c>
      <c r="P32">
        <v>15843</v>
      </c>
      <c r="Q32">
        <v>1.1100000000000001</v>
      </c>
      <c r="R32">
        <v>17507</v>
      </c>
      <c r="S32">
        <v>1729</v>
      </c>
      <c r="T32">
        <v>280</v>
      </c>
      <c r="U32">
        <v>476</v>
      </c>
      <c r="V32">
        <v>46</v>
      </c>
      <c r="W32">
        <v>0</v>
      </c>
      <c r="X32">
        <v>26</v>
      </c>
      <c r="Y32" t="s">
        <v>501</v>
      </c>
      <c r="Z32">
        <v>2531</v>
      </c>
      <c r="AA32" t="s">
        <v>498</v>
      </c>
    </row>
    <row r="33" spans="1:27" x14ac:dyDescent="0.25">
      <c r="A33" t="s">
        <v>70</v>
      </c>
      <c r="B33" s="1">
        <v>45748</v>
      </c>
      <c r="C33" s="2">
        <v>0.45833333333333331</v>
      </c>
      <c r="D33" t="s">
        <v>25</v>
      </c>
      <c r="E33" t="s">
        <v>39</v>
      </c>
      <c r="F33" t="s">
        <v>42</v>
      </c>
      <c r="G33" t="s">
        <v>28</v>
      </c>
      <c r="H33" t="s">
        <v>29</v>
      </c>
      <c r="I33" t="s">
        <v>29</v>
      </c>
      <c r="J33">
        <v>1</v>
      </c>
      <c r="K33">
        <v>0</v>
      </c>
      <c r="L33">
        <v>1</v>
      </c>
      <c r="M33">
        <v>270</v>
      </c>
      <c r="N33">
        <v>108</v>
      </c>
      <c r="O33">
        <v>0</v>
      </c>
      <c r="P33">
        <v>3905</v>
      </c>
      <c r="Q33">
        <v>1.17</v>
      </c>
      <c r="R33">
        <v>4575</v>
      </c>
      <c r="S33">
        <v>91</v>
      </c>
      <c r="T33">
        <v>33</v>
      </c>
      <c r="U33">
        <v>41</v>
      </c>
      <c r="V33">
        <v>0</v>
      </c>
      <c r="W33">
        <v>0</v>
      </c>
      <c r="X33">
        <v>4</v>
      </c>
      <c r="Y33" t="s">
        <v>499</v>
      </c>
      <c r="Z33">
        <v>165</v>
      </c>
      <c r="AA33" t="s">
        <v>498</v>
      </c>
    </row>
    <row r="34" spans="1:27" x14ac:dyDescent="0.25">
      <c r="A34" t="s">
        <v>71</v>
      </c>
      <c r="B34" s="1">
        <v>45751</v>
      </c>
      <c r="C34" s="2">
        <v>0.43402777777777779</v>
      </c>
      <c r="D34" t="s">
        <v>31</v>
      </c>
      <c r="E34" t="s">
        <v>26</v>
      </c>
      <c r="F34" t="s">
        <v>33</v>
      </c>
      <c r="G34" t="s">
        <v>28</v>
      </c>
      <c r="H34" t="s">
        <v>29</v>
      </c>
      <c r="I34" t="s">
        <v>29</v>
      </c>
      <c r="J34">
        <v>3</v>
      </c>
      <c r="K34">
        <v>0</v>
      </c>
      <c r="L34">
        <v>9</v>
      </c>
      <c r="M34">
        <v>128</v>
      </c>
      <c r="N34">
        <v>206</v>
      </c>
      <c r="O34">
        <v>0</v>
      </c>
      <c r="P34">
        <v>3964</v>
      </c>
      <c r="Q34">
        <v>1.02</v>
      </c>
      <c r="R34">
        <v>4060</v>
      </c>
      <c r="S34">
        <v>14</v>
      </c>
      <c r="T34">
        <v>2</v>
      </c>
      <c r="U34">
        <v>3</v>
      </c>
      <c r="V34">
        <v>0</v>
      </c>
      <c r="W34">
        <v>0</v>
      </c>
      <c r="X34">
        <v>44</v>
      </c>
      <c r="Y34" t="s">
        <v>497</v>
      </c>
      <c r="Z34">
        <v>19</v>
      </c>
      <c r="AA34" t="s">
        <v>498</v>
      </c>
    </row>
    <row r="35" spans="1:27" x14ac:dyDescent="0.25">
      <c r="A35" t="s">
        <v>72</v>
      </c>
      <c r="B35" s="1">
        <v>45751</v>
      </c>
      <c r="C35" s="2">
        <v>0.70625000000000004</v>
      </c>
      <c r="D35" t="s">
        <v>38</v>
      </c>
      <c r="E35" t="s">
        <v>26</v>
      </c>
      <c r="F35" t="s">
        <v>27</v>
      </c>
      <c r="G35" t="s">
        <v>28</v>
      </c>
      <c r="H35" t="s">
        <v>36</v>
      </c>
      <c r="I35" t="s">
        <v>29</v>
      </c>
      <c r="J35">
        <v>8</v>
      </c>
      <c r="K35">
        <v>0</v>
      </c>
      <c r="L35">
        <v>1</v>
      </c>
      <c r="M35">
        <v>238</v>
      </c>
      <c r="N35">
        <v>174</v>
      </c>
      <c r="O35">
        <v>440</v>
      </c>
      <c r="P35">
        <v>1097</v>
      </c>
      <c r="Q35">
        <v>1.21</v>
      </c>
      <c r="R35">
        <v>1330</v>
      </c>
      <c r="S35">
        <v>54</v>
      </c>
      <c r="T35">
        <v>7</v>
      </c>
      <c r="U35">
        <v>14</v>
      </c>
      <c r="V35">
        <v>1</v>
      </c>
      <c r="W35">
        <v>0</v>
      </c>
      <c r="X35">
        <v>48</v>
      </c>
      <c r="Y35" t="s">
        <v>497</v>
      </c>
      <c r="Z35">
        <v>76</v>
      </c>
      <c r="AA35" t="s">
        <v>498</v>
      </c>
    </row>
    <row r="36" spans="1:27" x14ac:dyDescent="0.25">
      <c r="A36" t="s">
        <v>73</v>
      </c>
      <c r="B36" s="1">
        <v>45751</v>
      </c>
      <c r="C36" s="2">
        <v>0.70694444444444449</v>
      </c>
      <c r="D36" t="s">
        <v>38</v>
      </c>
      <c r="E36" t="s">
        <v>26</v>
      </c>
      <c r="F36" t="s">
        <v>42</v>
      </c>
      <c r="G36" t="s">
        <v>28</v>
      </c>
      <c r="H36" t="s">
        <v>29</v>
      </c>
      <c r="I36" t="s">
        <v>29</v>
      </c>
      <c r="J36">
        <v>3</v>
      </c>
      <c r="K36">
        <v>0</v>
      </c>
      <c r="L36">
        <v>1</v>
      </c>
      <c r="M36">
        <v>203</v>
      </c>
      <c r="N36">
        <v>72</v>
      </c>
      <c r="O36">
        <v>0</v>
      </c>
      <c r="P36">
        <v>9665</v>
      </c>
      <c r="Q36">
        <v>1.08</v>
      </c>
      <c r="R36">
        <v>10428</v>
      </c>
      <c r="S36">
        <v>320</v>
      </c>
      <c r="T36">
        <v>42</v>
      </c>
      <c r="U36">
        <v>75</v>
      </c>
      <c r="V36">
        <v>10</v>
      </c>
      <c r="W36">
        <v>0</v>
      </c>
      <c r="X36">
        <v>26</v>
      </c>
      <c r="Y36" t="s">
        <v>497</v>
      </c>
      <c r="Z36">
        <v>447</v>
      </c>
      <c r="AA36" t="s">
        <v>498</v>
      </c>
    </row>
    <row r="37" spans="1:27" x14ac:dyDescent="0.25">
      <c r="A37" t="s">
        <v>74</v>
      </c>
      <c r="B37" s="1">
        <v>45752</v>
      </c>
      <c r="C37" s="2">
        <v>0.67222222222222228</v>
      </c>
      <c r="D37" t="s">
        <v>38</v>
      </c>
      <c r="E37" t="s">
        <v>39</v>
      </c>
      <c r="F37" t="s">
        <v>42</v>
      </c>
      <c r="G37" t="s">
        <v>28</v>
      </c>
      <c r="H37" t="s">
        <v>36</v>
      </c>
      <c r="I37" t="s">
        <v>29</v>
      </c>
      <c r="J37">
        <v>4</v>
      </c>
      <c r="K37">
        <v>0</v>
      </c>
      <c r="L37">
        <v>1</v>
      </c>
      <c r="M37">
        <v>258</v>
      </c>
      <c r="N37">
        <v>65</v>
      </c>
      <c r="O37">
        <v>320</v>
      </c>
      <c r="P37">
        <v>17638</v>
      </c>
      <c r="Q37">
        <v>1.85</v>
      </c>
      <c r="R37">
        <v>32686</v>
      </c>
      <c r="S37">
        <v>652</v>
      </c>
      <c r="T37">
        <v>216</v>
      </c>
      <c r="U37">
        <v>253</v>
      </c>
      <c r="V37">
        <v>0</v>
      </c>
      <c r="W37">
        <v>0</v>
      </c>
      <c r="X37">
        <v>1</v>
      </c>
      <c r="Y37" t="s">
        <v>499</v>
      </c>
      <c r="Z37">
        <v>1121</v>
      </c>
      <c r="AA37" t="s">
        <v>498</v>
      </c>
    </row>
    <row r="38" spans="1:27" x14ac:dyDescent="0.25">
      <c r="A38" t="s">
        <v>75</v>
      </c>
      <c r="B38" s="1">
        <v>45754</v>
      </c>
      <c r="C38" s="2">
        <v>0.59027777777777779</v>
      </c>
      <c r="D38" t="s">
        <v>25</v>
      </c>
      <c r="E38" t="s">
        <v>39</v>
      </c>
      <c r="F38" t="s">
        <v>33</v>
      </c>
      <c r="G38" t="s">
        <v>28</v>
      </c>
      <c r="H38" t="s">
        <v>29</v>
      </c>
      <c r="I38" t="s">
        <v>36</v>
      </c>
      <c r="J38">
        <v>4</v>
      </c>
      <c r="K38">
        <v>0</v>
      </c>
      <c r="L38">
        <v>3</v>
      </c>
      <c r="M38">
        <v>210</v>
      </c>
      <c r="N38">
        <v>150</v>
      </c>
      <c r="O38">
        <v>0</v>
      </c>
      <c r="P38">
        <v>13484</v>
      </c>
      <c r="Q38">
        <v>1.1100000000000001</v>
      </c>
      <c r="R38">
        <v>14928</v>
      </c>
      <c r="S38">
        <v>134</v>
      </c>
      <c r="T38">
        <v>51</v>
      </c>
      <c r="U38">
        <v>76</v>
      </c>
      <c r="V38">
        <v>0</v>
      </c>
      <c r="W38">
        <v>395</v>
      </c>
      <c r="X38">
        <v>5</v>
      </c>
      <c r="Y38" t="s">
        <v>497</v>
      </c>
      <c r="Z38">
        <v>656</v>
      </c>
      <c r="AA38" t="s">
        <v>498</v>
      </c>
    </row>
    <row r="39" spans="1:27" x14ac:dyDescent="0.25">
      <c r="A39" t="s">
        <v>76</v>
      </c>
      <c r="B39" s="1">
        <v>45754</v>
      </c>
      <c r="C39" s="2">
        <v>0.75208333333333333</v>
      </c>
      <c r="D39" t="s">
        <v>38</v>
      </c>
      <c r="E39" t="s">
        <v>48</v>
      </c>
      <c r="F39" t="s">
        <v>45</v>
      </c>
      <c r="G39" t="s">
        <v>28</v>
      </c>
      <c r="H39" t="s">
        <v>29</v>
      </c>
      <c r="I39" t="s">
        <v>29</v>
      </c>
      <c r="J39">
        <v>5</v>
      </c>
      <c r="K39">
        <v>125</v>
      </c>
      <c r="L39">
        <v>1</v>
      </c>
      <c r="M39">
        <v>84</v>
      </c>
      <c r="N39">
        <v>326</v>
      </c>
      <c r="O39">
        <v>0</v>
      </c>
      <c r="P39">
        <v>7059</v>
      </c>
      <c r="Q39">
        <v>1</v>
      </c>
      <c r="R39">
        <v>7059</v>
      </c>
      <c r="S39">
        <v>126</v>
      </c>
      <c r="T39">
        <v>26</v>
      </c>
      <c r="U39">
        <v>34</v>
      </c>
      <c r="V39">
        <v>10</v>
      </c>
      <c r="W39">
        <v>0</v>
      </c>
      <c r="X39">
        <v>20</v>
      </c>
      <c r="Y39" t="s">
        <v>501</v>
      </c>
      <c r="Z39">
        <v>196</v>
      </c>
      <c r="AA39" t="s">
        <v>498</v>
      </c>
    </row>
    <row r="40" spans="1:27" x14ac:dyDescent="0.25">
      <c r="A40" t="s">
        <v>77</v>
      </c>
      <c r="B40" s="1">
        <v>45755</v>
      </c>
      <c r="C40" s="2">
        <v>0.47083333333333333</v>
      </c>
      <c r="D40" t="s">
        <v>25</v>
      </c>
      <c r="E40" t="s">
        <v>48</v>
      </c>
      <c r="F40" t="s">
        <v>27</v>
      </c>
      <c r="G40" t="s">
        <v>28</v>
      </c>
      <c r="H40" t="s">
        <v>29</v>
      </c>
      <c r="I40" t="s">
        <v>29</v>
      </c>
      <c r="J40">
        <v>3</v>
      </c>
      <c r="K40">
        <v>0</v>
      </c>
      <c r="L40">
        <v>1</v>
      </c>
      <c r="M40">
        <v>105</v>
      </c>
      <c r="N40">
        <v>66</v>
      </c>
      <c r="O40">
        <v>0</v>
      </c>
      <c r="P40">
        <v>18121</v>
      </c>
      <c r="Q40">
        <v>1.02</v>
      </c>
      <c r="R40">
        <v>18404</v>
      </c>
      <c r="S40">
        <v>306</v>
      </c>
      <c r="T40">
        <v>77</v>
      </c>
      <c r="U40">
        <v>102</v>
      </c>
      <c r="V40">
        <v>29</v>
      </c>
      <c r="W40">
        <v>0</v>
      </c>
      <c r="X40">
        <v>6</v>
      </c>
      <c r="Y40" t="s">
        <v>497</v>
      </c>
      <c r="Z40">
        <v>514</v>
      </c>
      <c r="AA40" t="s">
        <v>498</v>
      </c>
    </row>
    <row r="41" spans="1:27" x14ac:dyDescent="0.25">
      <c r="A41" t="s">
        <v>78</v>
      </c>
      <c r="B41" s="1">
        <v>45755</v>
      </c>
      <c r="C41" s="2">
        <v>0.76597222222222228</v>
      </c>
      <c r="D41" t="s">
        <v>38</v>
      </c>
      <c r="E41" t="s">
        <v>26</v>
      </c>
      <c r="F41" t="s">
        <v>27</v>
      </c>
      <c r="G41" t="s">
        <v>28</v>
      </c>
      <c r="H41" t="s">
        <v>36</v>
      </c>
      <c r="I41" t="s">
        <v>36</v>
      </c>
      <c r="J41">
        <v>7</v>
      </c>
      <c r="K41">
        <v>0</v>
      </c>
      <c r="L41">
        <v>1</v>
      </c>
      <c r="M41">
        <v>192</v>
      </c>
      <c r="N41">
        <v>68</v>
      </c>
      <c r="O41">
        <v>336</v>
      </c>
      <c r="P41">
        <v>54435</v>
      </c>
      <c r="Q41">
        <v>1.81</v>
      </c>
      <c r="R41">
        <v>98541</v>
      </c>
      <c r="S41">
        <v>1695</v>
      </c>
      <c r="T41">
        <v>191</v>
      </c>
      <c r="U41">
        <v>358</v>
      </c>
      <c r="V41">
        <v>43</v>
      </c>
      <c r="W41">
        <v>1818</v>
      </c>
      <c r="X41">
        <v>141</v>
      </c>
      <c r="Y41" t="s">
        <v>497</v>
      </c>
      <c r="Z41">
        <v>4105</v>
      </c>
      <c r="AA41" t="s">
        <v>498</v>
      </c>
    </row>
    <row r="42" spans="1:27" x14ac:dyDescent="0.25">
      <c r="A42" t="s">
        <v>79</v>
      </c>
      <c r="B42" s="1">
        <v>45757</v>
      </c>
      <c r="C42" s="2">
        <v>0.6118055555555556</v>
      </c>
      <c r="D42" t="s">
        <v>25</v>
      </c>
      <c r="E42" t="s">
        <v>32</v>
      </c>
      <c r="F42" t="s">
        <v>27</v>
      </c>
      <c r="G42" t="s">
        <v>28</v>
      </c>
      <c r="H42" t="s">
        <v>36</v>
      </c>
      <c r="I42" t="s">
        <v>29</v>
      </c>
      <c r="J42">
        <v>13</v>
      </c>
      <c r="K42">
        <v>0</v>
      </c>
      <c r="L42">
        <v>1</v>
      </c>
      <c r="M42">
        <v>149</v>
      </c>
      <c r="N42">
        <v>101</v>
      </c>
      <c r="O42">
        <v>137</v>
      </c>
      <c r="P42">
        <v>29377</v>
      </c>
      <c r="Q42">
        <v>1.32</v>
      </c>
      <c r="R42">
        <v>38711</v>
      </c>
      <c r="S42">
        <v>1361</v>
      </c>
      <c r="T42">
        <v>213</v>
      </c>
      <c r="U42">
        <v>267</v>
      </c>
      <c r="V42">
        <v>136</v>
      </c>
      <c r="W42">
        <v>0</v>
      </c>
      <c r="X42">
        <v>15</v>
      </c>
      <c r="Y42" t="s">
        <v>497</v>
      </c>
      <c r="Z42">
        <v>1977</v>
      </c>
      <c r="AA42" t="s">
        <v>498</v>
      </c>
    </row>
    <row r="43" spans="1:27" x14ac:dyDescent="0.25">
      <c r="A43" t="s">
        <v>80</v>
      </c>
      <c r="B43" s="1">
        <v>45757</v>
      </c>
      <c r="C43" s="2">
        <v>0.92986111111111114</v>
      </c>
      <c r="D43" t="s">
        <v>35</v>
      </c>
      <c r="E43" t="s">
        <v>32</v>
      </c>
      <c r="F43" t="s">
        <v>45</v>
      </c>
      <c r="G43" t="s">
        <v>28</v>
      </c>
      <c r="H43" t="s">
        <v>29</v>
      </c>
      <c r="I43" t="s">
        <v>29</v>
      </c>
      <c r="J43">
        <v>13</v>
      </c>
      <c r="K43">
        <v>69</v>
      </c>
      <c r="L43">
        <v>1</v>
      </c>
      <c r="M43">
        <v>125</v>
      </c>
      <c r="N43">
        <v>122</v>
      </c>
      <c r="O43">
        <v>0</v>
      </c>
      <c r="P43">
        <v>16888</v>
      </c>
      <c r="Q43">
        <v>1.1499999999999999</v>
      </c>
      <c r="R43">
        <v>19475</v>
      </c>
      <c r="S43">
        <v>748</v>
      </c>
      <c r="T43">
        <v>138</v>
      </c>
      <c r="U43">
        <v>167</v>
      </c>
      <c r="V43">
        <v>90</v>
      </c>
      <c r="W43">
        <v>0</v>
      </c>
      <c r="X43">
        <v>26</v>
      </c>
      <c r="Y43" t="s">
        <v>497</v>
      </c>
      <c r="Z43">
        <v>1143</v>
      </c>
      <c r="AA43" t="s">
        <v>498</v>
      </c>
    </row>
    <row r="44" spans="1:27" x14ac:dyDescent="0.25">
      <c r="A44" t="s">
        <v>81</v>
      </c>
      <c r="B44" s="1">
        <v>45758</v>
      </c>
      <c r="C44" s="2">
        <v>0.6381944444444444</v>
      </c>
      <c r="D44" t="s">
        <v>38</v>
      </c>
      <c r="E44" t="s">
        <v>39</v>
      </c>
      <c r="F44" t="s">
        <v>27</v>
      </c>
      <c r="G44" t="s">
        <v>28</v>
      </c>
      <c r="H44" t="s">
        <v>29</v>
      </c>
      <c r="I44" t="s">
        <v>36</v>
      </c>
      <c r="J44">
        <v>4</v>
      </c>
      <c r="K44">
        <v>0</v>
      </c>
      <c r="L44">
        <v>1</v>
      </c>
      <c r="M44">
        <v>127</v>
      </c>
      <c r="N44">
        <v>173</v>
      </c>
      <c r="O44">
        <v>0</v>
      </c>
      <c r="P44">
        <v>7954</v>
      </c>
      <c r="Q44">
        <v>1.03</v>
      </c>
      <c r="R44">
        <v>8230</v>
      </c>
      <c r="S44">
        <v>94</v>
      </c>
      <c r="T44">
        <v>32</v>
      </c>
      <c r="U44">
        <v>42</v>
      </c>
      <c r="V44">
        <v>0</v>
      </c>
      <c r="W44">
        <v>137</v>
      </c>
      <c r="X44">
        <v>6</v>
      </c>
      <c r="Y44" t="s">
        <v>497</v>
      </c>
      <c r="Z44">
        <v>305</v>
      </c>
      <c r="AA44" t="s">
        <v>498</v>
      </c>
    </row>
    <row r="45" spans="1:27" x14ac:dyDescent="0.25">
      <c r="A45" t="s">
        <v>82</v>
      </c>
      <c r="B45" s="1">
        <v>45761</v>
      </c>
      <c r="C45" s="2">
        <v>0.90416666666666667</v>
      </c>
      <c r="D45" t="s">
        <v>35</v>
      </c>
      <c r="E45" t="s">
        <v>26</v>
      </c>
      <c r="F45" t="s">
        <v>45</v>
      </c>
      <c r="G45" t="s">
        <v>28</v>
      </c>
      <c r="H45" t="s">
        <v>29</v>
      </c>
      <c r="I45" t="s">
        <v>29</v>
      </c>
      <c r="J45">
        <v>4</v>
      </c>
      <c r="K45">
        <v>60</v>
      </c>
      <c r="L45">
        <v>1</v>
      </c>
      <c r="M45">
        <v>94</v>
      </c>
      <c r="N45">
        <v>225</v>
      </c>
      <c r="O45">
        <v>0</v>
      </c>
      <c r="P45">
        <v>26792</v>
      </c>
      <c r="Q45">
        <v>1.18</v>
      </c>
      <c r="R45">
        <v>31548</v>
      </c>
      <c r="S45">
        <v>2268</v>
      </c>
      <c r="T45">
        <v>307</v>
      </c>
      <c r="U45">
        <v>674</v>
      </c>
      <c r="V45">
        <v>59</v>
      </c>
      <c r="W45">
        <v>0</v>
      </c>
      <c r="X45">
        <v>21</v>
      </c>
      <c r="Y45" t="s">
        <v>501</v>
      </c>
      <c r="Z45">
        <v>3308</v>
      </c>
      <c r="AA45" t="s">
        <v>498</v>
      </c>
    </row>
    <row r="46" spans="1:27" x14ac:dyDescent="0.25">
      <c r="A46" t="s">
        <v>83</v>
      </c>
      <c r="B46" s="1">
        <v>45763</v>
      </c>
      <c r="C46" s="2">
        <v>0.49166666666666664</v>
      </c>
      <c r="D46" t="s">
        <v>25</v>
      </c>
      <c r="E46" t="s">
        <v>39</v>
      </c>
      <c r="F46" t="s">
        <v>45</v>
      </c>
      <c r="G46" t="s">
        <v>28</v>
      </c>
      <c r="H46" t="s">
        <v>36</v>
      </c>
      <c r="I46" t="s">
        <v>29</v>
      </c>
      <c r="J46">
        <v>4</v>
      </c>
      <c r="K46">
        <v>162</v>
      </c>
      <c r="L46">
        <v>1</v>
      </c>
      <c r="M46">
        <v>163</v>
      </c>
      <c r="N46">
        <v>196</v>
      </c>
      <c r="O46">
        <v>379</v>
      </c>
      <c r="P46">
        <v>16485</v>
      </c>
      <c r="Q46">
        <v>1.84</v>
      </c>
      <c r="R46">
        <v>30345</v>
      </c>
      <c r="S46">
        <v>505</v>
      </c>
      <c r="T46">
        <v>190</v>
      </c>
      <c r="U46">
        <v>237</v>
      </c>
      <c r="V46">
        <v>0</v>
      </c>
      <c r="W46">
        <v>0</v>
      </c>
      <c r="X46">
        <v>2</v>
      </c>
      <c r="Y46" t="s">
        <v>497</v>
      </c>
      <c r="Z46">
        <v>932</v>
      </c>
      <c r="AA46" t="s">
        <v>498</v>
      </c>
    </row>
    <row r="47" spans="1:27" x14ac:dyDescent="0.25">
      <c r="A47" t="s">
        <v>84</v>
      </c>
      <c r="B47" s="1">
        <v>45763</v>
      </c>
      <c r="C47" s="2">
        <v>0.51041666666666663</v>
      </c>
      <c r="D47" t="s">
        <v>25</v>
      </c>
      <c r="E47" t="s">
        <v>32</v>
      </c>
      <c r="F47" t="s">
        <v>33</v>
      </c>
      <c r="G47" t="s">
        <v>28</v>
      </c>
      <c r="H47" t="s">
        <v>29</v>
      </c>
      <c r="I47" t="s">
        <v>29</v>
      </c>
      <c r="J47">
        <v>14</v>
      </c>
      <c r="K47">
        <v>0</v>
      </c>
      <c r="L47">
        <v>7</v>
      </c>
      <c r="M47">
        <v>227</v>
      </c>
      <c r="N47">
        <v>85</v>
      </c>
      <c r="O47">
        <v>0</v>
      </c>
      <c r="P47">
        <v>14575</v>
      </c>
      <c r="Q47">
        <v>1.06</v>
      </c>
      <c r="R47">
        <v>15437</v>
      </c>
      <c r="S47">
        <v>887</v>
      </c>
      <c r="T47">
        <v>146</v>
      </c>
      <c r="U47">
        <v>197</v>
      </c>
      <c r="V47">
        <v>99</v>
      </c>
      <c r="W47">
        <v>0</v>
      </c>
      <c r="X47">
        <v>18</v>
      </c>
      <c r="Y47" t="s">
        <v>497</v>
      </c>
      <c r="Z47">
        <v>1329</v>
      </c>
      <c r="AA47" t="s">
        <v>498</v>
      </c>
    </row>
    <row r="48" spans="1:27" x14ac:dyDescent="0.25">
      <c r="A48" t="s">
        <v>85</v>
      </c>
      <c r="B48" s="1">
        <v>45763</v>
      </c>
      <c r="C48" s="2">
        <v>0.77013888888888893</v>
      </c>
      <c r="D48" t="s">
        <v>38</v>
      </c>
      <c r="E48" t="s">
        <v>39</v>
      </c>
      <c r="F48" t="s">
        <v>42</v>
      </c>
      <c r="G48" t="s">
        <v>28</v>
      </c>
      <c r="H48" t="s">
        <v>29</v>
      </c>
      <c r="I48" t="s">
        <v>36</v>
      </c>
      <c r="J48">
        <v>2</v>
      </c>
      <c r="K48">
        <v>0</v>
      </c>
      <c r="L48">
        <v>1</v>
      </c>
      <c r="M48">
        <v>314</v>
      </c>
      <c r="N48">
        <v>100</v>
      </c>
      <c r="O48">
        <v>0</v>
      </c>
      <c r="P48">
        <v>3904</v>
      </c>
      <c r="Q48">
        <v>1.05</v>
      </c>
      <c r="R48">
        <v>4088</v>
      </c>
      <c r="S48">
        <v>77</v>
      </c>
      <c r="T48">
        <v>31</v>
      </c>
      <c r="U48">
        <v>39</v>
      </c>
      <c r="V48">
        <v>0</v>
      </c>
      <c r="W48">
        <v>79</v>
      </c>
      <c r="X48">
        <v>11</v>
      </c>
      <c r="Y48" t="s">
        <v>499</v>
      </c>
      <c r="Z48">
        <v>226</v>
      </c>
      <c r="AA48" t="s">
        <v>498</v>
      </c>
    </row>
    <row r="49" spans="1:27" x14ac:dyDescent="0.25">
      <c r="A49" t="s">
        <v>86</v>
      </c>
      <c r="B49" s="1">
        <v>45764</v>
      </c>
      <c r="C49" s="2">
        <v>0.5493055555555556</v>
      </c>
      <c r="D49" t="s">
        <v>25</v>
      </c>
      <c r="E49" t="s">
        <v>32</v>
      </c>
      <c r="F49" t="s">
        <v>27</v>
      </c>
      <c r="G49" t="s">
        <v>28</v>
      </c>
      <c r="H49" t="s">
        <v>29</v>
      </c>
      <c r="I49" t="s">
        <v>29</v>
      </c>
      <c r="J49">
        <v>12</v>
      </c>
      <c r="K49">
        <v>0</v>
      </c>
      <c r="L49">
        <v>1</v>
      </c>
      <c r="M49">
        <v>187</v>
      </c>
      <c r="N49">
        <v>101</v>
      </c>
      <c r="O49">
        <v>0</v>
      </c>
      <c r="P49">
        <v>7653</v>
      </c>
      <c r="Q49">
        <v>1.18</v>
      </c>
      <c r="R49">
        <v>9015</v>
      </c>
      <c r="S49">
        <v>195</v>
      </c>
      <c r="T49">
        <v>44</v>
      </c>
      <c r="U49">
        <v>44</v>
      </c>
      <c r="V49">
        <v>25</v>
      </c>
      <c r="W49">
        <v>0</v>
      </c>
      <c r="X49">
        <v>7</v>
      </c>
      <c r="Y49" t="s">
        <v>497</v>
      </c>
      <c r="Z49">
        <v>308</v>
      </c>
      <c r="AA49" t="s">
        <v>498</v>
      </c>
    </row>
    <row r="50" spans="1:27" x14ac:dyDescent="0.25">
      <c r="A50" t="s">
        <v>87</v>
      </c>
      <c r="B50" s="1">
        <v>45766</v>
      </c>
      <c r="C50" s="2">
        <v>0.55763888888888891</v>
      </c>
      <c r="D50" t="s">
        <v>25</v>
      </c>
      <c r="E50" t="s">
        <v>26</v>
      </c>
      <c r="F50" t="s">
        <v>42</v>
      </c>
      <c r="G50" t="s">
        <v>28</v>
      </c>
      <c r="H50" t="s">
        <v>36</v>
      </c>
      <c r="I50" t="s">
        <v>36</v>
      </c>
      <c r="J50">
        <v>3</v>
      </c>
      <c r="K50">
        <v>0</v>
      </c>
      <c r="L50">
        <v>1</v>
      </c>
      <c r="M50">
        <v>329</v>
      </c>
      <c r="N50">
        <v>61</v>
      </c>
      <c r="O50">
        <v>247</v>
      </c>
      <c r="P50">
        <v>64350</v>
      </c>
      <c r="Q50">
        <v>1.42</v>
      </c>
      <c r="R50">
        <v>91117</v>
      </c>
      <c r="S50">
        <v>3261</v>
      </c>
      <c r="T50">
        <v>461</v>
      </c>
      <c r="U50">
        <v>879</v>
      </c>
      <c r="V50">
        <v>105</v>
      </c>
      <c r="W50">
        <v>1323</v>
      </c>
      <c r="X50">
        <v>13</v>
      </c>
      <c r="Y50" t="s">
        <v>499</v>
      </c>
      <c r="Z50">
        <v>6029</v>
      </c>
      <c r="AA50" t="s">
        <v>498</v>
      </c>
    </row>
    <row r="51" spans="1:27" x14ac:dyDescent="0.25">
      <c r="A51" t="s">
        <v>88</v>
      </c>
      <c r="B51" s="1">
        <v>45766</v>
      </c>
      <c r="C51" s="2">
        <v>0.58611111111111114</v>
      </c>
      <c r="D51" t="s">
        <v>25</v>
      </c>
      <c r="E51" t="s">
        <v>39</v>
      </c>
      <c r="F51" t="s">
        <v>33</v>
      </c>
      <c r="G51" t="s">
        <v>28</v>
      </c>
      <c r="H51" t="s">
        <v>29</v>
      </c>
      <c r="I51" t="s">
        <v>29</v>
      </c>
      <c r="J51">
        <v>3</v>
      </c>
      <c r="K51">
        <v>0</v>
      </c>
      <c r="L51">
        <v>10</v>
      </c>
      <c r="M51">
        <v>265</v>
      </c>
      <c r="N51">
        <v>80</v>
      </c>
      <c r="O51">
        <v>0</v>
      </c>
      <c r="P51">
        <v>6837</v>
      </c>
      <c r="Q51">
        <v>1.1399999999999999</v>
      </c>
      <c r="R51">
        <v>7790</v>
      </c>
      <c r="S51">
        <v>97</v>
      </c>
      <c r="T51">
        <v>36</v>
      </c>
      <c r="U51">
        <v>42</v>
      </c>
      <c r="V51">
        <v>0</v>
      </c>
      <c r="W51">
        <v>0</v>
      </c>
      <c r="X51">
        <v>7</v>
      </c>
      <c r="Y51" t="s">
        <v>499</v>
      </c>
      <c r="Z51">
        <v>175</v>
      </c>
      <c r="AA51" t="s">
        <v>498</v>
      </c>
    </row>
    <row r="52" spans="1:27" x14ac:dyDescent="0.25">
      <c r="A52" t="s">
        <v>89</v>
      </c>
      <c r="B52" s="1">
        <v>45768</v>
      </c>
      <c r="C52" s="2">
        <v>0.31388888888888888</v>
      </c>
      <c r="D52" t="s">
        <v>31</v>
      </c>
      <c r="E52" t="s">
        <v>32</v>
      </c>
      <c r="F52" t="s">
        <v>42</v>
      </c>
      <c r="G52" t="s">
        <v>28</v>
      </c>
      <c r="H52" t="s">
        <v>29</v>
      </c>
      <c r="I52" t="s">
        <v>29</v>
      </c>
      <c r="J52">
        <v>10</v>
      </c>
      <c r="K52">
        <v>0</v>
      </c>
      <c r="L52">
        <v>1</v>
      </c>
      <c r="M52">
        <v>295</v>
      </c>
      <c r="N52">
        <v>58</v>
      </c>
      <c r="O52">
        <v>0</v>
      </c>
      <c r="P52">
        <v>12734</v>
      </c>
      <c r="Q52">
        <v>1.02</v>
      </c>
      <c r="R52">
        <v>13041</v>
      </c>
      <c r="S52">
        <v>147</v>
      </c>
      <c r="T52">
        <v>32</v>
      </c>
      <c r="U52">
        <v>38</v>
      </c>
      <c r="V52">
        <v>19</v>
      </c>
      <c r="W52">
        <v>0</v>
      </c>
      <c r="X52">
        <v>14</v>
      </c>
      <c r="Y52" t="s">
        <v>499</v>
      </c>
      <c r="Z52">
        <v>236</v>
      </c>
      <c r="AA52" t="s">
        <v>498</v>
      </c>
    </row>
    <row r="53" spans="1:27" x14ac:dyDescent="0.25">
      <c r="A53" t="s">
        <v>90</v>
      </c>
      <c r="B53" s="1">
        <v>45769</v>
      </c>
      <c r="C53" s="2">
        <v>0.81388888888888888</v>
      </c>
      <c r="D53" t="s">
        <v>35</v>
      </c>
      <c r="E53" t="s">
        <v>32</v>
      </c>
      <c r="F53" t="s">
        <v>33</v>
      </c>
      <c r="G53" t="s">
        <v>28</v>
      </c>
      <c r="H53" t="s">
        <v>29</v>
      </c>
      <c r="I53" t="s">
        <v>29</v>
      </c>
      <c r="J53">
        <v>7</v>
      </c>
      <c r="K53">
        <v>0</v>
      </c>
      <c r="L53">
        <v>7</v>
      </c>
      <c r="M53">
        <v>281</v>
      </c>
      <c r="N53">
        <v>265</v>
      </c>
      <c r="O53">
        <v>0</v>
      </c>
      <c r="P53">
        <v>5432</v>
      </c>
      <c r="Q53">
        <v>1</v>
      </c>
      <c r="R53">
        <v>5432</v>
      </c>
      <c r="S53">
        <v>136</v>
      </c>
      <c r="T53">
        <v>20</v>
      </c>
      <c r="U53">
        <v>28</v>
      </c>
      <c r="V53">
        <v>17</v>
      </c>
      <c r="W53">
        <v>0</v>
      </c>
      <c r="X53">
        <v>22</v>
      </c>
      <c r="Y53" t="s">
        <v>499</v>
      </c>
      <c r="Z53">
        <v>201</v>
      </c>
      <c r="AA53" t="s">
        <v>498</v>
      </c>
    </row>
    <row r="54" spans="1:27" x14ac:dyDescent="0.25">
      <c r="A54" t="s">
        <v>91</v>
      </c>
      <c r="B54" s="1">
        <v>45770</v>
      </c>
      <c r="C54" s="2">
        <v>0.67361111111111116</v>
      </c>
      <c r="D54" t="s">
        <v>38</v>
      </c>
      <c r="E54" t="s">
        <v>39</v>
      </c>
      <c r="F54" t="s">
        <v>27</v>
      </c>
      <c r="G54" t="s">
        <v>28</v>
      </c>
      <c r="H54" t="s">
        <v>36</v>
      </c>
      <c r="I54" t="s">
        <v>29</v>
      </c>
      <c r="J54">
        <v>4</v>
      </c>
      <c r="K54">
        <v>0</v>
      </c>
      <c r="L54">
        <v>1</v>
      </c>
      <c r="M54">
        <v>231</v>
      </c>
      <c r="N54">
        <v>145</v>
      </c>
      <c r="O54">
        <v>337</v>
      </c>
      <c r="P54">
        <v>28565</v>
      </c>
      <c r="Q54">
        <v>1.59</v>
      </c>
      <c r="R54">
        <v>45433</v>
      </c>
      <c r="S54">
        <v>874</v>
      </c>
      <c r="T54">
        <v>316</v>
      </c>
      <c r="U54">
        <v>397</v>
      </c>
      <c r="V54">
        <v>0</v>
      </c>
      <c r="W54">
        <v>0</v>
      </c>
      <c r="X54">
        <v>64</v>
      </c>
      <c r="Y54" t="s">
        <v>497</v>
      </c>
      <c r="Z54">
        <v>1587</v>
      </c>
      <c r="AA54" t="s">
        <v>498</v>
      </c>
    </row>
    <row r="55" spans="1:27" x14ac:dyDescent="0.25">
      <c r="A55" t="s">
        <v>92</v>
      </c>
      <c r="B55" s="1">
        <v>45771</v>
      </c>
      <c r="C55" s="2">
        <v>0.2673611111111111</v>
      </c>
      <c r="D55" t="s">
        <v>31</v>
      </c>
      <c r="E55" t="s">
        <v>26</v>
      </c>
      <c r="F55" t="s">
        <v>27</v>
      </c>
      <c r="G55" t="s">
        <v>28</v>
      </c>
      <c r="H55" t="s">
        <v>29</v>
      </c>
      <c r="I55" t="s">
        <v>36</v>
      </c>
      <c r="J55">
        <v>5</v>
      </c>
      <c r="K55">
        <v>0</v>
      </c>
      <c r="L55">
        <v>1</v>
      </c>
      <c r="M55">
        <v>190</v>
      </c>
      <c r="N55">
        <v>110</v>
      </c>
      <c r="O55">
        <v>0</v>
      </c>
      <c r="P55">
        <v>31258</v>
      </c>
      <c r="Q55">
        <v>1.36</v>
      </c>
      <c r="R55">
        <v>42396</v>
      </c>
      <c r="S55">
        <v>1146</v>
      </c>
      <c r="T55">
        <v>156</v>
      </c>
      <c r="U55">
        <v>256</v>
      </c>
      <c r="V55">
        <v>30</v>
      </c>
      <c r="W55">
        <v>755</v>
      </c>
      <c r="X55">
        <v>186</v>
      </c>
      <c r="Y55" t="s">
        <v>497</v>
      </c>
      <c r="Z55">
        <v>2343</v>
      </c>
      <c r="AA55" t="s">
        <v>498</v>
      </c>
    </row>
    <row r="56" spans="1:27" x14ac:dyDescent="0.25">
      <c r="A56" t="s">
        <v>93</v>
      </c>
      <c r="B56" s="1">
        <v>45771</v>
      </c>
      <c r="C56" s="2">
        <v>0.3527777777777778</v>
      </c>
      <c r="D56" t="s">
        <v>31</v>
      </c>
      <c r="E56" t="s">
        <v>26</v>
      </c>
      <c r="F56" t="s">
        <v>45</v>
      </c>
      <c r="G56" t="s">
        <v>28</v>
      </c>
      <c r="H56" t="s">
        <v>36</v>
      </c>
      <c r="I56" t="s">
        <v>36</v>
      </c>
      <c r="J56">
        <v>6</v>
      </c>
      <c r="K56">
        <v>50</v>
      </c>
      <c r="L56">
        <v>1</v>
      </c>
      <c r="M56">
        <v>192</v>
      </c>
      <c r="N56">
        <v>252</v>
      </c>
      <c r="O56">
        <v>461</v>
      </c>
      <c r="P56">
        <v>33234</v>
      </c>
      <c r="Q56">
        <v>1.37</v>
      </c>
      <c r="R56">
        <v>45406</v>
      </c>
      <c r="S56">
        <v>2669</v>
      </c>
      <c r="T56">
        <v>400</v>
      </c>
      <c r="U56">
        <v>554</v>
      </c>
      <c r="V56">
        <v>70</v>
      </c>
      <c r="W56">
        <v>1325</v>
      </c>
      <c r="X56">
        <v>107</v>
      </c>
      <c r="Y56" t="s">
        <v>497</v>
      </c>
      <c r="Z56">
        <v>5018</v>
      </c>
      <c r="AA56" t="s">
        <v>498</v>
      </c>
    </row>
    <row r="57" spans="1:27" x14ac:dyDescent="0.25">
      <c r="A57" t="s">
        <v>94</v>
      </c>
      <c r="B57" s="1">
        <v>45771</v>
      </c>
      <c r="C57" s="2">
        <v>0.45208333333333334</v>
      </c>
      <c r="D57" t="s">
        <v>31</v>
      </c>
      <c r="E57" t="s">
        <v>39</v>
      </c>
      <c r="F57" t="s">
        <v>45</v>
      </c>
      <c r="G57" t="s">
        <v>28</v>
      </c>
      <c r="H57" t="s">
        <v>36</v>
      </c>
      <c r="I57" t="s">
        <v>36</v>
      </c>
      <c r="J57">
        <v>4</v>
      </c>
      <c r="K57">
        <v>113</v>
      </c>
      <c r="L57">
        <v>1</v>
      </c>
      <c r="M57">
        <v>80</v>
      </c>
      <c r="N57">
        <v>167</v>
      </c>
      <c r="O57">
        <v>209</v>
      </c>
      <c r="P57">
        <v>135030</v>
      </c>
      <c r="Q57">
        <v>1.26</v>
      </c>
      <c r="R57">
        <v>170671</v>
      </c>
      <c r="S57">
        <v>1712</v>
      </c>
      <c r="T57">
        <v>635</v>
      </c>
      <c r="U57">
        <v>918</v>
      </c>
      <c r="V57">
        <v>0</v>
      </c>
      <c r="W57">
        <v>3416</v>
      </c>
      <c r="X57">
        <v>20</v>
      </c>
      <c r="Y57" t="s">
        <v>501</v>
      </c>
      <c r="Z57">
        <v>6681</v>
      </c>
      <c r="AA57" t="s">
        <v>498</v>
      </c>
    </row>
    <row r="58" spans="1:27" x14ac:dyDescent="0.25">
      <c r="A58" t="s">
        <v>95</v>
      </c>
      <c r="B58" s="1">
        <v>45772</v>
      </c>
      <c r="C58" s="2">
        <v>0.64166666666666672</v>
      </c>
      <c r="D58" t="s">
        <v>38</v>
      </c>
      <c r="E58" t="s">
        <v>26</v>
      </c>
      <c r="F58" t="s">
        <v>45</v>
      </c>
      <c r="G58" t="s">
        <v>28</v>
      </c>
      <c r="H58" t="s">
        <v>36</v>
      </c>
      <c r="I58" t="s">
        <v>29</v>
      </c>
      <c r="J58">
        <v>6</v>
      </c>
      <c r="K58">
        <v>37</v>
      </c>
      <c r="L58">
        <v>1</v>
      </c>
      <c r="M58">
        <v>189</v>
      </c>
      <c r="N58">
        <v>252</v>
      </c>
      <c r="O58">
        <v>419</v>
      </c>
      <c r="P58">
        <v>123584</v>
      </c>
      <c r="Q58">
        <v>2.0499999999999998</v>
      </c>
      <c r="R58">
        <v>253428</v>
      </c>
      <c r="S58">
        <v>24267</v>
      </c>
      <c r="T58">
        <v>3003</v>
      </c>
      <c r="U58">
        <v>5245</v>
      </c>
      <c r="V58">
        <v>737</v>
      </c>
      <c r="W58">
        <v>0</v>
      </c>
      <c r="X58">
        <v>83</v>
      </c>
      <c r="Y58" t="s">
        <v>497</v>
      </c>
      <c r="Z58">
        <v>33252</v>
      </c>
      <c r="AA58" t="s">
        <v>500</v>
      </c>
    </row>
    <row r="59" spans="1:27" x14ac:dyDescent="0.25">
      <c r="A59" t="s">
        <v>96</v>
      </c>
      <c r="B59" s="1">
        <v>45772</v>
      </c>
      <c r="C59" s="2">
        <v>0.64583333333333337</v>
      </c>
      <c r="D59" t="s">
        <v>38</v>
      </c>
      <c r="E59" t="s">
        <v>39</v>
      </c>
      <c r="F59" t="s">
        <v>33</v>
      </c>
      <c r="G59" t="s">
        <v>28</v>
      </c>
      <c r="H59" t="s">
        <v>29</v>
      </c>
      <c r="I59" t="s">
        <v>29</v>
      </c>
      <c r="J59">
        <v>4</v>
      </c>
      <c r="K59">
        <v>0</v>
      </c>
      <c r="L59">
        <v>8</v>
      </c>
      <c r="M59">
        <v>166</v>
      </c>
      <c r="N59">
        <v>210</v>
      </c>
      <c r="O59">
        <v>0</v>
      </c>
      <c r="P59">
        <v>10513</v>
      </c>
      <c r="Q59">
        <v>1.06</v>
      </c>
      <c r="R59">
        <v>11124</v>
      </c>
      <c r="S59">
        <v>99</v>
      </c>
      <c r="T59">
        <v>38</v>
      </c>
      <c r="U59">
        <v>45</v>
      </c>
      <c r="V59">
        <v>0</v>
      </c>
      <c r="W59">
        <v>0</v>
      </c>
      <c r="X59">
        <v>4</v>
      </c>
      <c r="Y59" t="s">
        <v>497</v>
      </c>
      <c r="Z59">
        <v>182</v>
      </c>
      <c r="AA59" t="s">
        <v>498</v>
      </c>
    </row>
    <row r="60" spans="1:27" x14ac:dyDescent="0.25">
      <c r="A60" t="s">
        <v>97</v>
      </c>
      <c r="B60" s="1">
        <v>45772</v>
      </c>
      <c r="C60" s="2">
        <v>0.88194444444444442</v>
      </c>
      <c r="D60" t="s">
        <v>35</v>
      </c>
      <c r="E60" t="s">
        <v>39</v>
      </c>
      <c r="F60" t="s">
        <v>45</v>
      </c>
      <c r="G60" t="s">
        <v>28</v>
      </c>
      <c r="H60" t="s">
        <v>29</v>
      </c>
      <c r="I60" t="s">
        <v>29</v>
      </c>
      <c r="J60">
        <v>4</v>
      </c>
      <c r="K60">
        <v>114</v>
      </c>
      <c r="L60">
        <v>1</v>
      </c>
      <c r="M60">
        <v>160</v>
      </c>
      <c r="N60">
        <v>96</v>
      </c>
      <c r="O60">
        <v>0</v>
      </c>
      <c r="P60">
        <v>12991</v>
      </c>
      <c r="Q60">
        <v>1</v>
      </c>
      <c r="R60">
        <v>12991</v>
      </c>
      <c r="S60">
        <v>252</v>
      </c>
      <c r="T60">
        <v>92</v>
      </c>
      <c r="U60">
        <v>117</v>
      </c>
      <c r="V60">
        <v>0</v>
      </c>
      <c r="W60">
        <v>0</v>
      </c>
      <c r="X60">
        <v>3</v>
      </c>
      <c r="Y60" t="s">
        <v>497</v>
      </c>
      <c r="Z60">
        <v>461</v>
      </c>
      <c r="AA60" t="s">
        <v>498</v>
      </c>
    </row>
    <row r="61" spans="1:27" x14ac:dyDescent="0.25">
      <c r="A61" t="s">
        <v>98</v>
      </c>
      <c r="B61" s="1">
        <v>45773</v>
      </c>
      <c r="C61" s="2">
        <v>0.77083333333333337</v>
      </c>
      <c r="D61" t="s">
        <v>38</v>
      </c>
      <c r="E61" t="s">
        <v>26</v>
      </c>
      <c r="F61" t="s">
        <v>45</v>
      </c>
      <c r="G61" t="s">
        <v>28</v>
      </c>
      <c r="H61" t="s">
        <v>36</v>
      </c>
      <c r="I61" t="s">
        <v>36</v>
      </c>
      <c r="J61">
        <v>7</v>
      </c>
      <c r="K61">
        <v>39</v>
      </c>
      <c r="L61">
        <v>1</v>
      </c>
      <c r="M61">
        <v>140</v>
      </c>
      <c r="N61">
        <v>208</v>
      </c>
      <c r="O61">
        <v>100</v>
      </c>
      <c r="P61">
        <v>64687</v>
      </c>
      <c r="Q61">
        <v>1.21</v>
      </c>
      <c r="R61">
        <v>78499</v>
      </c>
      <c r="S61">
        <v>7087</v>
      </c>
      <c r="T61">
        <v>1119</v>
      </c>
      <c r="U61">
        <v>1612</v>
      </c>
      <c r="V61">
        <v>233</v>
      </c>
      <c r="W61">
        <v>1775</v>
      </c>
      <c r="X61">
        <v>16</v>
      </c>
      <c r="Y61" t="s">
        <v>497</v>
      </c>
      <c r="Z61">
        <v>11826</v>
      </c>
      <c r="AA61" t="s">
        <v>500</v>
      </c>
    </row>
    <row r="62" spans="1:27" x14ac:dyDescent="0.25">
      <c r="A62" t="s">
        <v>99</v>
      </c>
      <c r="B62" s="1">
        <v>45774</v>
      </c>
      <c r="C62" s="2">
        <v>0.79791666666666672</v>
      </c>
      <c r="D62" t="s">
        <v>35</v>
      </c>
      <c r="E62" t="s">
        <v>39</v>
      </c>
      <c r="F62" t="s">
        <v>33</v>
      </c>
      <c r="G62" t="s">
        <v>28</v>
      </c>
      <c r="H62" t="s">
        <v>29</v>
      </c>
      <c r="I62" t="s">
        <v>29</v>
      </c>
      <c r="J62">
        <v>3</v>
      </c>
      <c r="K62">
        <v>0</v>
      </c>
      <c r="L62">
        <v>10</v>
      </c>
      <c r="M62">
        <v>232</v>
      </c>
      <c r="N62">
        <v>96</v>
      </c>
      <c r="O62">
        <v>0</v>
      </c>
      <c r="P62">
        <v>5351</v>
      </c>
      <c r="Q62">
        <v>1</v>
      </c>
      <c r="R62">
        <v>5351</v>
      </c>
      <c r="S62">
        <v>13</v>
      </c>
      <c r="T62">
        <v>5</v>
      </c>
      <c r="U62">
        <v>6</v>
      </c>
      <c r="V62">
        <v>0</v>
      </c>
      <c r="W62">
        <v>0</v>
      </c>
      <c r="X62">
        <v>3</v>
      </c>
      <c r="Y62" t="s">
        <v>497</v>
      </c>
      <c r="Z62">
        <v>24</v>
      </c>
      <c r="AA62" t="s">
        <v>498</v>
      </c>
    </row>
    <row r="63" spans="1:27" x14ac:dyDescent="0.25">
      <c r="A63" t="s">
        <v>100</v>
      </c>
      <c r="B63" s="1">
        <v>45775</v>
      </c>
      <c r="C63" s="2">
        <v>0.29652777777777778</v>
      </c>
      <c r="D63" t="s">
        <v>31</v>
      </c>
      <c r="E63" t="s">
        <v>26</v>
      </c>
      <c r="F63" t="s">
        <v>42</v>
      </c>
      <c r="G63" t="s">
        <v>28</v>
      </c>
      <c r="H63" t="s">
        <v>29</v>
      </c>
      <c r="I63" t="s">
        <v>29</v>
      </c>
      <c r="J63">
        <v>4</v>
      </c>
      <c r="K63">
        <v>0</v>
      </c>
      <c r="L63">
        <v>1</v>
      </c>
      <c r="M63">
        <v>222</v>
      </c>
      <c r="N63">
        <v>81</v>
      </c>
      <c r="O63">
        <v>0</v>
      </c>
      <c r="P63">
        <v>7916</v>
      </c>
      <c r="Q63">
        <v>1.1100000000000001</v>
      </c>
      <c r="R63">
        <v>8751</v>
      </c>
      <c r="S63">
        <v>327</v>
      </c>
      <c r="T63">
        <v>39</v>
      </c>
      <c r="U63">
        <v>85</v>
      </c>
      <c r="V63">
        <v>8</v>
      </c>
      <c r="W63">
        <v>0</v>
      </c>
      <c r="X63">
        <v>46</v>
      </c>
      <c r="Y63" t="s">
        <v>497</v>
      </c>
      <c r="Z63">
        <v>459</v>
      </c>
      <c r="AA63" t="s">
        <v>498</v>
      </c>
    </row>
    <row r="64" spans="1:27" x14ac:dyDescent="0.25">
      <c r="A64" t="s">
        <v>101</v>
      </c>
      <c r="B64" s="1">
        <v>45775</v>
      </c>
      <c r="C64" s="2">
        <v>0.71527777777777779</v>
      </c>
      <c r="D64" t="s">
        <v>38</v>
      </c>
      <c r="E64" t="s">
        <v>48</v>
      </c>
      <c r="F64" t="s">
        <v>33</v>
      </c>
      <c r="G64" t="s">
        <v>28</v>
      </c>
      <c r="H64" t="s">
        <v>29</v>
      </c>
      <c r="I64" t="s">
        <v>29</v>
      </c>
      <c r="J64">
        <v>2</v>
      </c>
      <c r="K64">
        <v>0</v>
      </c>
      <c r="L64">
        <v>9</v>
      </c>
      <c r="M64">
        <v>127</v>
      </c>
      <c r="N64">
        <v>140</v>
      </c>
      <c r="O64">
        <v>0</v>
      </c>
      <c r="P64">
        <v>7294</v>
      </c>
      <c r="Q64">
        <v>1.21</v>
      </c>
      <c r="R64">
        <v>8801</v>
      </c>
      <c r="S64">
        <v>75</v>
      </c>
      <c r="T64">
        <v>22</v>
      </c>
      <c r="U64">
        <v>29</v>
      </c>
      <c r="V64">
        <v>6</v>
      </c>
      <c r="W64">
        <v>0</v>
      </c>
      <c r="X64">
        <v>10</v>
      </c>
      <c r="Y64" t="s">
        <v>497</v>
      </c>
      <c r="Z64">
        <v>132</v>
      </c>
      <c r="AA64" t="s">
        <v>498</v>
      </c>
    </row>
    <row r="65" spans="1:27" x14ac:dyDescent="0.25">
      <c r="A65" t="s">
        <v>102</v>
      </c>
      <c r="B65" s="1">
        <v>45775</v>
      </c>
      <c r="C65" s="2">
        <v>0.86250000000000004</v>
      </c>
      <c r="D65" t="s">
        <v>35</v>
      </c>
      <c r="E65" t="s">
        <v>48</v>
      </c>
      <c r="F65" t="s">
        <v>45</v>
      </c>
      <c r="G65" t="s">
        <v>28</v>
      </c>
      <c r="H65" t="s">
        <v>29</v>
      </c>
      <c r="I65" t="s">
        <v>29</v>
      </c>
      <c r="J65">
        <v>6</v>
      </c>
      <c r="K65">
        <v>76</v>
      </c>
      <c r="L65">
        <v>1</v>
      </c>
      <c r="M65">
        <v>98</v>
      </c>
      <c r="N65">
        <v>160</v>
      </c>
      <c r="O65">
        <v>0</v>
      </c>
      <c r="P65">
        <v>8055</v>
      </c>
      <c r="Q65">
        <v>1.1599999999999999</v>
      </c>
      <c r="R65">
        <v>9352</v>
      </c>
      <c r="S65">
        <v>169</v>
      </c>
      <c r="T65">
        <v>53</v>
      </c>
      <c r="U65">
        <v>70</v>
      </c>
      <c r="V65">
        <v>15</v>
      </c>
      <c r="W65">
        <v>0</v>
      </c>
      <c r="X65">
        <v>0</v>
      </c>
      <c r="Y65" t="s">
        <v>501</v>
      </c>
      <c r="Z65">
        <v>307</v>
      </c>
      <c r="AA65" t="s">
        <v>498</v>
      </c>
    </row>
    <row r="66" spans="1:27" x14ac:dyDescent="0.25">
      <c r="A66" t="s">
        <v>103</v>
      </c>
      <c r="B66" s="1">
        <v>45776</v>
      </c>
      <c r="C66" s="2">
        <v>0.52152777777777781</v>
      </c>
      <c r="D66" t="s">
        <v>25</v>
      </c>
      <c r="E66" t="s">
        <v>48</v>
      </c>
      <c r="F66" t="s">
        <v>42</v>
      </c>
      <c r="G66" t="s">
        <v>28</v>
      </c>
      <c r="H66" t="s">
        <v>29</v>
      </c>
      <c r="I66" t="s">
        <v>29</v>
      </c>
      <c r="J66">
        <v>4</v>
      </c>
      <c r="K66">
        <v>0</v>
      </c>
      <c r="L66">
        <v>1</v>
      </c>
      <c r="M66">
        <v>284</v>
      </c>
      <c r="N66">
        <v>75</v>
      </c>
      <c r="O66">
        <v>0</v>
      </c>
      <c r="P66">
        <v>10703</v>
      </c>
      <c r="Q66">
        <v>1.04</v>
      </c>
      <c r="R66">
        <v>11168</v>
      </c>
      <c r="S66">
        <v>65</v>
      </c>
      <c r="T66">
        <v>18</v>
      </c>
      <c r="U66">
        <v>23</v>
      </c>
      <c r="V66">
        <v>6</v>
      </c>
      <c r="W66">
        <v>0</v>
      </c>
      <c r="X66">
        <v>2</v>
      </c>
      <c r="Y66" t="s">
        <v>499</v>
      </c>
      <c r="Z66">
        <v>112</v>
      </c>
      <c r="AA66" t="s">
        <v>498</v>
      </c>
    </row>
    <row r="67" spans="1:27" x14ac:dyDescent="0.25">
      <c r="A67" t="s">
        <v>104</v>
      </c>
      <c r="B67" s="1">
        <v>45776</v>
      </c>
      <c r="C67" s="2">
        <v>0.60972222222222228</v>
      </c>
      <c r="D67" t="s">
        <v>25</v>
      </c>
      <c r="E67" t="s">
        <v>39</v>
      </c>
      <c r="F67" t="s">
        <v>33</v>
      </c>
      <c r="G67" t="s">
        <v>28</v>
      </c>
      <c r="H67" t="s">
        <v>29</v>
      </c>
      <c r="I67" t="s">
        <v>36</v>
      </c>
      <c r="J67">
        <v>4</v>
      </c>
      <c r="K67">
        <v>0</v>
      </c>
      <c r="L67">
        <v>7</v>
      </c>
      <c r="M67">
        <v>209</v>
      </c>
      <c r="N67">
        <v>164</v>
      </c>
      <c r="O67">
        <v>0</v>
      </c>
      <c r="P67">
        <v>4632</v>
      </c>
      <c r="Q67">
        <v>1.08</v>
      </c>
      <c r="R67">
        <v>5015</v>
      </c>
      <c r="S67">
        <v>16</v>
      </c>
      <c r="T67">
        <v>6</v>
      </c>
      <c r="U67">
        <v>6</v>
      </c>
      <c r="V67">
        <v>0</v>
      </c>
      <c r="W67">
        <v>99</v>
      </c>
      <c r="X67">
        <v>8</v>
      </c>
      <c r="Y67" t="s">
        <v>497</v>
      </c>
      <c r="Z67">
        <v>127</v>
      </c>
      <c r="AA67" t="s">
        <v>498</v>
      </c>
    </row>
    <row r="68" spans="1:27" x14ac:dyDescent="0.25">
      <c r="A68" t="s">
        <v>105</v>
      </c>
      <c r="B68" s="1">
        <v>45777</v>
      </c>
      <c r="C68" s="2">
        <v>0.77638888888888891</v>
      </c>
      <c r="D68" t="s">
        <v>38</v>
      </c>
      <c r="E68" t="s">
        <v>39</v>
      </c>
      <c r="F68" t="s">
        <v>33</v>
      </c>
      <c r="G68" t="s">
        <v>28</v>
      </c>
      <c r="H68" t="s">
        <v>29</v>
      </c>
      <c r="I68" t="s">
        <v>36</v>
      </c>
      <c r="J68">
        <v>4</v>
      </c>
      <c r="K68">
        <v>0</v>
      </c>
      <c r="L68">
        <v>7</v>
      </c>
      <c r="M68">
        <v>250</v>
      </c>
      <c r="N68">
        <v>221</v>
      </c>
      <c r="O68">
        <v>0</v>
      </c>
      <c r="P68">
        <v>11835</v>
      </c>
      <c r="Q68">
        <v>1</v>
      </c>
      <c r="R68">
        <v>11835</v>
      </c>
      <c r="S68">
        <v>144</v>
      </c>
      <c r="T68">
        <v>55</v>
      </c>
      <c r="U68">
        <v>72</v>
      </c>
      <c r="V68">
        <v>0</v>
      </c>
      <c r="W68">
        <v>273</v>
      </c>
      <c r="X68">
        <v>7</v>
      </c>
      <c r="Y68" t="s">
        <v>497</v>
      </c>
      <c r="Z68">
        <v>544</v>
      </c>
      <c r="AA68" t="s">
        <v>498</v>
      </c>
    </row>
    <row r="69" spans="1:27" x14ac:dyDescent="0.25">
      <c r="A69" t="s">
        <v>106</v>
      </c>
      <c r="B69" s="1">
        <v>45777</v>
      </c>
      <c r="C69" s="2">
        <v>0.78472222222222221</v>
      </c>
      <c r="D69" t="s">
        <v>38</v>
      </c>
      <c r="E69" t="s">
        <v>39</v>
      </c>
      <c r="F69" t="s">
        <v>45</v>
      </c>
      <c r="G69" t="s">
        <v>28</v>
      </c>
      <c r="H69" t="s">
        <v>36</v>
      </c>
      <c r="I69" t="s">
        <v>29</v>
      </c>
      <c r="J69">
        <v>3</v>
      </c>
      <c r="K69">
        <v>170</v>
      </c>
      <c r="L69">
        <v>1</v>
      </c>
      <c r="M69">
        <v>63</v>
      </c>
      <c r="N69">
        <v>172</v>
      </c>
      <c r="O69">
        <v>468</v>
      </c>
      <c r="P69">
        <v>50292</v>
      </c>
      <c r="Q69">
        <v>1.49</v>
      </c>
      <c r="R69">
        <v>75117</v>
      </c>
      <c r="S69">
        <v>1082</v>
      </c>
      <c r="T69">
        <v>407</v>
      </c>
      <c r="U69">
        <v>433</v>
      </c>
      <c r="V69">
        <v>0</v>
      </c>
      <c r="W69">
        <v>0</v>
      </c>
      <c r="X69">
        <v>44</v>
      </c>
      <c r="Y69" t="s">
        <v>501</v>
      </c>
      <c r="Z69">
        <v>1922</v>
      </c>
      <c r="AA69" t="s">
        <v>498</v>
      </c>
    </row>
    <row r="70" spans="1:27" x14ac:dyDescent="0.25">
      <c r="A70" t="s">
        <v>107</v>
      </c>
      <c r="B70" s="1">
        <v>45777</v>
      </c>
      <c r="C70" s="2">
        <v>0.80625000000000002</v>
      </c>
      <c r="D70" t="s">
        <v>35</v>
      </c>
      <c r="E70" t="s">
        <v>48</v>
      </c>
      <c r="F70" t="s">
        <v>45</v>
      </c>
      <c r="G70" t="s">
        <v>28</v>
      </c>
      <c r="H70" t="s">
        <v>36</v>
      </c>
      <c r="I70" t="s">
        <v>29</v>
      </c>
      <c r="J70">
        <v>6</v>
      </c>
      <c r="K70">
        <v>49</v>
      </c>
      <c r="L70">
        <v>1</v>
      </c>
      <c r="M70">
        <v>177</v>
      </c>
      <c r="N70">
        <v>301</v>
      </c>
      <c r="O70">
        <v>308</v>
      </c>
      <c r="P70">
        <v>21991</v>
      </c>
      <c r="Q70">
        <v>1.91</v>
      </c>
      <c r="R70">
        <v>41902</v>
      </c>
      <c r="S70">
        <v>668</v>
      </c>
      <c r="T70">
        <v>194</v>
      </c>
      <c r="U70">
        <v>267</v>
      </c>
      <c r="V70">
        <v>62</v>
      </c>
      <c r="W70">
        <v>0</v>
      </c>
      <c r="X70">
        <v>25</v>
      </c>
      <c r="Y70" t="s">
        <v>497</v>
      </c>
      <c r="Z70">
        <v>1191</v>
      </c>
      <c r="AA70" t="s">
        <v>498</v>
      </c>
    </row>
    <row r="71" spans="1:27" x14ac:dyDescent="0.25">
      <c r="A71" t="s">
        <v>108</v>
      </c>
      <c r="B71" s="1">
        <v>45778</v>
      </c>
      <c r="C71" s="2">
        <v>0.32500000000000001</v>
      </c>
      <c r="D71" t="s">
        <v>31</v>
      </c>
      <c r="E71" t="s">
        <v>39</v>
      </c>
      <c r="F71" t="s">
        <v>45</v>
      </c>
      <c r="G71" t="s">
        <v>28</v>
      </c>
      <c r="H71" t="s">
        <v>29</v>
      </c>
      <c r="I71" t="s">
        <v>29</v>
      </c>
      <c r="J71">
        <v>1</v>
      </c>
      <c r="K71">
        <v>98</v>
      </c>
      <c r="L71">
        <v>1</v>
      </c>
      <c r="M71">
        <v>65</v>
      </c>
      <c r="N71">
        <v>221</v>
      </c>
      <c r="O71">
        <v>0</v>
      </c>
      <c r="P71">
        <v>4933</v>
      </c>
      <c r="Q71">
        <v>1.1599999999999999</v>
      </c>
      <c r="R71">
        <v>5703</v>
      </c>
      <c r="S71">
        <v>53</v>
      </c>
      <c r="T71">
        <v>18</v>
      </c>
      <c r="U71">
        <v>22</v>
      </c>
      <c r="V71">
        <v>0</v>
      </c>
      <c r="W71">
        <v>0</v>
      </c>
      <c r="X71">
        <v>7</v>
      </c>
      <c r="Y71" t="s">
        <v>501</v>
      </c>
      <c r="Z71">
        <v>93</v>
      </c>
      <c r="AA71" t="s">
        <v>498</v>
      </c>
    </row>
    <row r="72" spans="1:27" x14ac:dyDescent="0.25">
      <c r="A72" t="s">
        <v>109</v>
      </c>
      <c r="B72" s="1">
        <v>45779</v>
      </c>
      <c r="C72" s="2">
        <v>0.77152777777777781</v>
      </c>
      <c r="D72" t="s">
        <v>38</v>
      </c>
      <c r="E72" t="s">
        <v>26</v>
      </c>
      <c r="F72" t="s">
        <v>33</v>
      </c>
      <c r="G72" t="s">
        <v>28</v>
      </c>
      <c r="H72" t="s">
        <v>29</v>
      </c>
      <c r="I72" t="s">
        <v>36</v>
      </c>
      <c r="J72">
        <v>5</v>
      </c>
      <c r="K72">
        <v>0</v>
      </c>
      <c r="L72">
        <v>9</v>
      </c>
      <c r="M72">
        <v>236</v>
      </c>
      <c r="N72">
        <v>222</v>
      </c>
      <c r="O72">
        <v>0</v>
      </c>
      <c r="P72">
        <v>34056</v>
      </c>
      <c r="Q72">
        <v>1.03</v>
      </c>
      <c r="R72">
        <v>35182</v>
      </c>
      <c r="S72">
        <v>344</v>
      </c>
      <c r="T72">
        <v>56</v>
      </c>
      <c r="U72">
        <v>100</v>
      </c>
      <c r="V72">
        <v>11</v>
      </c>
      <c r="W72">
        <v>822</v>
      </c>
      <c r="X72">
        <v>22</v>
      </c>
      <c r="Y72" t="s">
        <v>497</v>
      </c>
      <c r="Z72">
        <v>1333</v>
      </c>
      <c r="AA72" t="s">
        <v>498</v>
      </c>
    </row>
    <row r="73" spans="1:27" x14ac:dyDescent="0.25">
      <c r="A73" t="s">
        <v>110</v>
      </c>
      <c r="B73" s="1">
        <v>45780</v>
      </c>
      <c r="C73" s="2">
        <v>0.65625</v>
      </c>
      <c r="D73" t="s">
        <v>38</v>
      </c>
      <c r="E73" t="s">
        <v>26</v>
      </c>
      <c r="F73" t="s">
        <v>45</v>
      </c>
      <c r="G73" t="s">
        <v>28</v>
      </c>
      <c r="H73" t="s">
        <v>29</v>
      </c>
      <c r="I73" t="s">
        <v>29</v>
      </c>
      <c r="J73">
        <v>8</v>
      </c>
      <c r="K73">
        <v>48</v>
      </c>
      <c r="L73">
        <v>1</v>
      </c>
      <c r="M73">
        <v>60</v>
      </c>
      <c r="N73">
        <v>355</v>
      </c>
      <c r="O73">
        <v>0</v>
      </c>
      <c r="P73">
        <v>25003</v>
      </c>
      <c r="Q73">
        <v>1</v>
      </c>
      <c r="R73">
        <v>25003</v>
      </c>
      <c r="S73">
        <v>2669</v>
      </c>
      <c r="T73">
        <v>356</v>
      </c>
      <c r="U73">
        <v>585</v>
      </c>
      <c r="V73">
        <v>61</v>
      </c>
      <c r="W73">
        <v>0</v>
      </c>
      <c r="X73">
        <v>20</v>
      </c>
      <c r="Y73" t="s">
        <v>501</v>
      </c>
      <c r="Z73">
        <v>3671</v>
      </c>
      <c r="AA73" t="s">
        <v>498</v>
      </c>
    </row>
    <row r="74" spans="1:27" x14ac:dyDescent="0.25">
      <c r="A74" t="s">
        <v>111</v>
      </c>
      <c r="B74" s="1">
        <v>45780</v>
      </c>
      <c r="C74" s="2">
        <v>0.68819444444444444</v>
      </c>
      <c r="D74" t="s">
        <v>38</v>
      </c>
      <c r="E74" t="s">
        <v>32</v>
      </c>
      <c r="F74" t="s">
        <v>33</v>
      </c>
      <c r="G74" t="s">
        <v>28</v>
      </c>
      <c r="H74" t="s">
        <v>29</v>
      </c>
      <c r="I74" t="s">
        <v>29</v>
      </c>
      <c r="J74">
        <v>14</v>
      </c>
      <c r="K74">
        <v>0</v>
      </c>
      <c r="L74">
        <v>10</v>
      </c>
      <c r="M74">
        <v>230</v>
      </c>
      <c r="N74">
        <v>155</v>
      </c>
      <c r="O74">
        <v>0</v>
      </c>
      <c r="P74">
        <v>9539</v>
      </c>
      <c r="Q74">
        <v>1.24</v>
      </c>
      <c r="R74">
        <v>11874</v>
      </c>
      <c r="S74">
        <v>627</v>
      </c>
      <c r="T74">
        <v>96</v>
      </c>
      <c r="U74">
        <v>142</v>
      </c>
      <c r="V74">
        <v>74</v>
      </c>
      <c r="W74">
        <v>0</v>
      </c>
      <c r="X74">
        <v>16</v>
      </c>
      <c r="Y74" t="s">
        <v>497</v>
      </c>
      <c r="Z74">
        <v>939</v>
      </c>
      <c r="AA74" t="s">
        <v>498</v>
      </c>
    </row>
    <row r="75" spans="1:27" x14ac:dyDescent="0.25">
      <c r="A75" t="s">
        <v>112</v>
      </c>
      <c r="B75" s="1">
        <v>45781</v>
      </c>
      <c r="C75" s="2">
        <v>0.82986111111111116</v>
      </c>
      <c r="D75" t="s">
        <v>35</v>
      </c>
      <c r="E75" t="s">
        <v>32</v>
      </c>
      <c r="F75" t="s">
        <v>45</v>
      </c>
      <c r="G75" t="s">
        <v>28</v>
      </c>
      <c r="H75" t="s">
        <v>29</v>
      </c>
      <c r="I75" t="s">
        <v>36</v>
      </c>
      <c r="J75">
        <v>5</v>
      </c>
      <c r="K75">
        <v>47</v>
      </c>
      <c r="L75">
        <v>1</v>
      </c>
      <c r="M75">
        <v>172</v>
      </c>
      <c r="N75">
        <v>135</v>
      </c>
      <c r="O75">
        <v>0</v>
      </c>
      <c r="P75">
        <v>10160</v>
      </c>
      <c r="Q75">
        <v>1.27</v>
      </c>
      <c r="R75">
        <v>12923</v>
      </c>
      <c r="S75">
        <v>280</v>
      </c>
      <c r="T75">
        <v>58</v>
      </c>
      <c r="U75">
        <v>61</v>
      </c>
      <c r="V75">
        <v>33</v>
      </c>
      <c r="W75">
        <v>335</v>
      </c>
      <c r="X75">
        <v>13</v>
      </c>
      <c r="Y75" t="s">
        <v>497</v>
      </c>
      <c r="Z75">
        <v>767</v>
      </c>
      <c r="AA75" t="s">
        <v>498</v>
      </c>
    </row>
    <row r="76" spans="1:27" x14ac:dyDescent="0.25">
      <c r="A76" t="s">
        <v>113</v>
      </c>
      <c r="B76" s="1">
        <v>45782</v>
      </c>
      <c r="C76" s="2">
        <v>0.47986111111111113</v>
      </c>
      <c r="D76" t="s">
        <v>25</v>
      </c>
      <c r="E76" t="s">
        <v>48</v>
      </c>
      <c r="F76" t="s">
        <v>42</v>
      </c>
      <c r="G76" t="s">
        <v>28</v>
      </c>
      <c r="H76" t="s">
        <v>29</v>
      </c>
      <c r="I76" t="s">
        <v>29</v>
      </c>
      <c r="J76">
        <v>5</v>
      </c>
      <c r="K76">
        <v>0</v>
      </c>
      <c r="L76">
        <v>1</v>
      </c>
      <c r="M76">
        <v>425</v>
      </c>
      <c r="N76">
        <v>69</v>
      </c>
      <c r="O76">
        <v>0</v>
      </c>
      <c r="P76">
        <v>21596</v>
      </c>
      <c r="Q76">
        <v>1.1200000000000001</v>
      </c>
      <c r="R76">
        <v>24247</v>
      </c>
      <c r="S76">
        <v>247</v>
      </c>
      <c r="T76">
        <v>51</v>
      </c>
      <c r="U76">
        <v>86</v>
      </c>
      <c r="V76">
        <v>18</v>
      </c>
      <c r="W76">
        <v>0</v>
      </c>
      <c r="X76">
        <v>13</v>
      </c>
      <c r="Y76" t="s">
        <v>499</v>
      </c>
      <c r="Z76">
        <v>402</v>
      </c>
      <c r="AA76" t="s">
        <v>498</v>
      </c>
    </row>
    <row r="77" spans="1:27" x14ac:dyDescent="0.25">
      <c r="A77" t="s">
        <v>114</v>
      </c>
      <c r="B77" s="1">
        <v>45782</v>
      </c>
      <c r="C77" s="2">
        <v>0.58125000000000004</v>
      </c>
      <c r="D77" t="s">
        <v>25</v>
      </c>
      <c r="E77" t="s">
        <v>48</v>
      </c>
      <c r="F77" t="s">
        <v>42</v>
      </c>
      <c r="G77" t="s">
        <v>28</v>
      </c>
      <c r="H77" t="s">
        <v>29</v>
      </c>
      <c r="I77" t="s">
        <v>29</v>
      </c>
      <c r="J77">
        <v>4</v>
      </c>
      <c r="K77">
        <v>0</v>
      </c>
      <c r="L77">
        <v>1</v>
      </c>
      <c r="M77">
        <v>379</v>
      </c>
      <c r="N77">
        <v>46</v>
      </c>
      <c r="O77">
        <v>0</v>
      </c>
      <c r="P77">
        <v>7113</v>
      </c>
      <c r="Q77">
        <v>1</v>
      </c>
      <c r="R77">
        <v>7113</v>
      </c>
      <c r="S77">
        <v>44</v>
      </c>
      <c r="T77">
        <v>12</v>
      </c>
      <c r="U77">
        <v>15</v>
      </c>
      <c r="V77">
        <v>3</v>
      </c>
      <c r="W77">
        <v>0</v>
      </c>
      <c r="X77">
        <v>12</v>
      </c>
      <c r="Y77" t="s">
        <v>499</v>
      </c>
      <c r="Z77">
        <v>74</v>
      </c>
      <c r="AA77" t="s">
        <v>498</v>
      </c>
    </row>
    <row r="78" spans="1:27" x14ac:dyDescent="0.25">
      <c r="A78" t="s">
        <v>115</v>
      </c>
      <c r="B78" s="1">
        <v>45783</v>
      </c>
      <c r="C78" s="2">
        <v>0.49305555555555558</v>
      </c>
      <c r="D78" t="s">
        <v>25</v>
      </c>
      <c r="E78" t="s">
        <v>48</v>
      </c>
      <c r="F78" t="s">
        <v>45</v>
      </c>
      <c r="G78" t="s">
        <v>28</v>
      </c>
      <c r="H78" t="s">
        <v>29</v>
      </c>
      <c r="I78" t="s">
        <v>29</v>
      </c>
      <c r="J78">
        <v>6</v>
      </c>
      <c r="K78">
        <v>161</v>
      </c>
      <c r="L78">
        <v>1</v>
      </c>
      <c r="M78">
        <v>69</v>
      </c>
      <c r="N78">
        <v>175</v>
      </c>
      <c r="O78">
        <v>0</v>
      </c>
      <c r="P78">
        <v>12223</v>
      </c>
      <c r="Q78">
        <v>1</v>
      </c>
      <c r="R78">
        <v>12223</v>
      </c>
      <c r="S78">
        <v>156</v>
      </c>
      <c r="T78">
        <v>37</v>
      </c>
      <c r="U78">
        <v>53</v>
      </c>
      <c r="V78">
        <v>11</v>
      </c>
      <c r="W78">
        <v>0</v>
      </c>
      <c r="X78">
        <v>7</v>
      </c>
      <c r="Y78" t="s">
        <v>501</v>
      </c>
      <c r="Z78">
        <v>257</v>
      </c>
      <c r="AA78" t="s">
        <v>498</v>
      </c>
    </row>
    <row r="79" spans="1:27" x14ac:dyDescent="0.25">
      <c r="A79" t="s">
        <v>116</v>
      </c>
      <c r="B79" s="1">
        <v>45783</v>
      </c>
      <c r="C79" s="2">
        <v>0.54027777777777775</v>
      </c>
      <c r="D79" t="s">
        <v>25</v>
      </c>
      <c r="E79" t="s">
        <v>48</v>
      </c>
      <c r="F79" t="s">
        <v>42</v>
      </c>
      <c r="G79" t="s">
        <v>28</v>
      </c>
      <c r="H79" t="s">
        <v>36</v>
      </c>
      <c r="I79" t="s">
        <v>36</v>
      </c>
      <c r="J79">
        <v>3</v>
      </c>
      <c r="K79">
        <v>0</v>
      </c>
      <c r="L79">
        <v>1</v>
      </c>
      <c r="M79">
        <v>206</v>
      </c>
      <c r="N79">
        <v>88</v>
      </c>
      <c r="O79">
        <v>184</v>
      </c>
      <c r="P79">
        <v>27483</v>
      </c>
      <c r="Q79">
        <v>1.61</v>
      </c>
      <c r="R79">
        <v>44304</v>
      </c>
      <c r="S79">
        <v>169</v>
      </c>
      <c r="T79">
        <v>43</v>
      </c>
      <c r="U79">
        <v>54</v>
      </c>
      <c r="V79">
        <v>13</v>
      </c>
      <c r="W79">
        <v>843</v>
      </c>
      <c r="X79">
        <v>7</v>
      </c>
      <c r="Y79" t="s">
        <v>497</v>
      </c>
      <c r="Z79">
        <v>1122</v>
      </c>
      <c r="AA79" t="s">
        <v>498</v>
      </c>
    </row>
    <row r="80" spans="1:27" x14ac:dyDescent="0.25">
      <c r="A80" t="s">
        <v>117</v>
      </c>
      <c r="B80" s="1">
        <v>45783</v>
      </c>
      <c r="C80" s="2">
        <v>0.80555555555555558</v>
      </c>
      <c r="D80" t="s">
        <v>35</v>
      </c>
      <c r="E80" t="s">
        <v>32</v>
      </c>
      <c r="F80" t="s">
        <v>45</v>
      </c>
      <c r="G80" t="s">
        <v>28</v>
      </c>
      <c r="H80" t="s">
        <v>29</v>
      </c>
      <c r="I80" t="s">
        <v>36</v>
      </c>
      <c r="J80">
        <v>5</v>
      </c>
      <c r="K80">
        <v>52</v>
      </c>
      <c r="L80">
        <v>1</v>
      </c>
      <c r="M80">
        <v>148</v>
      </c>
      <c r="N80">
        <v>269</v>
      </c>
      <c r="O80">
        <v>0</v>
      </c>
      <c r="P80">
        <v>10628</v>
      </c>
      <c r="Q80">
        <v>1.2</v>
      </c>
      <c r="R80">
        <v>12717</v>
      </c>
      <c r="S80">
        <v>593</v>
      </c>
      <c r="T80">
        <v>111</v>
      </c>
      <c r="U80">
        <v>150</v>
      </c>
      <c r="V80">
        <v>73</v>
      </c>
      <c r="W80">
        <v>368</v>
      </c>
      <c r="X80">
        <v>18</v>
      </c>
      <c r="Y80" t="s">
        <v>497</v>
      </c>
      <c r="Z80">
        <v>1295</v>
      </c>
      <c r="AA80" t="s">
        <v>498</v>
      </c>
    </row>
    <row r="81" spans="1:27" x14ac:dyDescent="0.25">
      <c r="A81" t="s">
        <v>118</v>
      </c>
      <c r="B81" s="1">
        <v>45784</v>
      </c>
      <c r="C81" s="2">
        <v>0.52847222222222223</v>
      </c>
      <c r="D81" t="s">
        <v>25</v>
      </c>
      <c r="E81" t="s">
        <v>48</v>
      </c>
      <c r="F81" t="s">
        <v>45</v>
      </c>
      <c r="G81" t="s">
        <v>28</v>
      </c>
      <c r="H81" t="s">
        <v>29</v>
      </c>
      <c r="I81" t="s">
        <v>36</v>
      </c>
      <c r="J81">
        <v>5</v>
      </c>
      <c r="K81">
        <v>176</v>
      </c>
      <c r="L81">
        <v>1</v>
      </c>
      <c r="M81">
        <v>199</v>
      </c>
      <c r="N81">
        <v>142</v>
      </c>
      <c r="O81">
        <v>0</v>
      </c>
      <c r="P81">
        <v>6070</v>
      </c>
      <c r="Q81">
        <v>1</v>
      </c>
      <c r="R81">
        <v>6070</v>
      </c>
      <c r="S81">
        <v>69</v>
      </c>
      <c r="T81">
        <v>19</v>
      </c>
      <c r="U81">
        <v>22</v>
      </c>
      <c r="V81">
        <v>6</v>
      </c>
      <c r="W81">
        <v>163</v>
      </c>
      <c r="X81">
        <v>1</v>
      </c>
      <c r="Y81" t="s">
        <v>497</v>
      </c>
      <c r="Z81">
        <v>279</v>
      </c>
      <c r="AA81" t="s">
        <v>498</v>
      </c>
    </row>
    <row r="82" spans="1:27" x14ac:dyDescent="0.25">
      <c r="A82" t="s">
        <v>119</v>
      </c>
      <c r="B82" s="1">
        <v>45785</v>
      </c>
      <c r="C82" s="2">
        <v>0.57916666666666672</v>
      </c>
      <c r="D82" t="s">
        <v>25</v>
      </c>
      <c r="E82" t="s">
        <v>39</v>
      </c>
      <c r="F82" t="s">
        <v>45</v>
      </c>
      <c r="G82" t="s">
        <v>28</v>
      </c>
      <c r="H82" t="s">
        <v>36</v>
      </c>
      <c r="I82" t="s">
        <v>29</v>
      </c>
      <c r="J82">
        <v>4</v>
      </c>
      <c r="K82">
        <v>127</v>
      </c>
      <c r="L82">
        <v>1</v>
      </c>
      <c r="M82">
        <v>180</v>
      </c>
      <c r="N82">
        <v>180</v>
      </c>
      <c r="O82">
        <v>408</v>
      </c>
      <c r="P82">
        <v>89377</v>
      </c>
      <c r="Q82">
        <v>1.45</v>
      </c>
      <c r="R82">
        <v>129618</v>
      </c>
      <c r="S82">
        <v>990</v>
      </c>
      <c r="T82">
        <v>358</v>
      </c>
      <c r="U82">
        <v>476</v>
      </c>
      <c r="V82">
        <v>0</v>
      </c>
      <c r="W82">
        <v>0</v>
      </c>
      <c r="X82">
        <v>22</v>
      </c>
      <c r="Y82" t="s">
        <v>497</v>
      </c>
      <c r="Z82">
        <v>1824</v>
      </c>
      <c r="AA82" t="s">
        <v>498</v>
      </c>
    </row>
    <row r="83" spans="1:27" x14ac:dyDescent="0.25">
      <c r="A83" t="s">
        <v>120</v>
      </c>
      <c r="B83" s="1">
        <v>45785</v>
      </c>
      <c r="C83" s="2">
        <v>0.92847222222222225</v>
      </c>
      <c r="D83" t="s">
        <v>35</v>
      </c>
      <c r="E83" t="s">
        <v>32</v>
      </c>
      <c r="F83" t="s">
        <v>45</v>
      </c>
      <c r="G83" t="s">
        <v>28</v>
      </c>
      <c r="H83" t="s">
        <v>36</v>
      </c>
      <c r="I83" t="s">
        <v>29</v>
      </c>
      <c r="J83">
        <v>9</v>
      </c>
      <c r="K83">
        <v>38</v>
      </c>
      <c r="L83">
        <v>1</v>
      </c>
      <c r="M83">
        <v>53</v>
      </c>
      <c r="N83">
        <v>251</v>
      </c>
      <c r="O83">
        <v>303</v>
      </c>
      <c r="P83">
        <v>13051</v>
      </c>
      <c r="Q83">
        <v>1.93</v>
      </c>
      <c r="R83">
        <v>25202</v>
      </c>
      <c r="S83">
        <v>934</v>
      </c>
      <c r="T83">
        <v>180</v>
      </c>
      <c r="U83">
        <v>221</v>
      </c>
      <c r="V83">
        <v>107</v>
      </c>
      <c r="W83">
        <v>0</v>
      </c>
      <c r="X83">
        <v>22</v>
      </c>
      <c r="Y83" t="s">
        <v>501</v>
      </c>
      <c r="Z83">
        <v>1442</v>
      </c>
      <c r="AA83" t="s">
        <v>498</v>
      </c>
    </row>
    <row r="84" spans="1:27" x14ac:dyDescent="0.25">
      <c r="A84" t="s">
        <v>121</v>
      </c>
      <c r="B84" s="1">
        <v>45786</v>
      </c>
      <c r="C84" s="2">
        <v>0.875</v>
      </c>
      <c r="D84" t="s">
        <v>35</v>
      </c>
      <c r="E84" t="s">
        <v>26</v>
      </c>
      <c r="F84" t="s">
        <v>45</v>
      </c>
      <c r="G84" t="s">
        <v>28</v>
      </c>
      <c r="H84" t="s">
        <v>29</v>
      </c>
      <c r="I84" t="s">
        <v>36</v>
      </c>
      <c r="J84">
        <v>8</v>
      </c>
      <c r="K84">
        <v>32</v>
      </c>
      <c r="L84">
        <v>1</v>
      </c>
      <c r="M84">
        <v>191</v>
      </c>
      <c r="N84">
        <v>150</v>
      </c>
      <c r="O84">
        <v>0</v>
      </c>
      <c r="P84">
        <v>39397</v>
      </c>
      <c r="Q84">
        <v>1.31</v>
      </c>
      <c r="R84">
        <v>51537</v>
      </c>
      <c r="S84">
        <v>3988</v>
      </c>
      <c r="T84">
        <v>568</v>
      </c>
      <c r="U84">
        <v>1230</v>
      </c>
      <c r="V84">
        <v>113</v>
      </c>
      <c r="W84">
        <v>1099</v>
      </c>
      <c r="X84">
        <v>109</v>
      </c>
      <c r="Y84" t="s">
        <v>497</v>
      </c>
      <c r="Z84">
        <v>6998</v>
      </c>
      <c r="AA84" t="s">
        <v>498</v>
      </c>
    </row>
    <row r="85" spans="1:27" x14ac:dyDescent="0.25">
      <c r="A85" t="s">
        <v>122</v>
      </c>
      <c r="B85" s="1">
        <v>45786</v>
      </c>
      <c r="C85" s="2">
        <v>0.93263888888888891</v>
      </c>
      <c r="D85" t="s">
        <v>35</v>
      </c>
      <c r="E85" t="s">
        <v>48</v>
      </c>
      <c r="F85" t="s">
        <v>27</v>
      </c>
      <c r="G85" t="s">
        <v>28</v>
      </c>
      <c r="H85" t="s">
        <v>29</v>
      </c>
      <c r="I85" t="s">
        <v>29</v>
      </c>
      <c r="J85">
        <v>5</v>
      </c>
      <c r="K85">
        <v>0</v>
      </c>
      <c r="L85">
        <v>1</v>
      </c>
      <c r="M85">
        <v>100</v>
      </c>
      <c r="N85">
        <v>127</v>
      </c>
      <c r="O85">
        <v>0</v>
      </c>
      <c r="P85">
        <v>8825</v>
      </c>
      <c r="Q85">
        <v>1.2</v>
      </c>
      <c r="R85">
        <v>10571</v>
      </c>
      <c r="S85">
        <v>137</v>
      </c>
      <c r="T85">
        <v>37</v>
      </c>
      <c r="U85">
        <v>49</v>
      </c>
      <c r="V85">
        <v>13</v>
      </c>
      <c r="W85">
        <v>0</v>
      </c>
      <c r="X85">
        <v>18</v>
      </c>
      <c r="Y85" t="s">
        <v>497</v>
      </c>
      <c r="Z85">
        <v>236</v>
      </c>
      <c r="AA85" t="s">
        <v>498</v>
      </c>
    </row>
    <row r="86" spans="1:27" x14ac:dyDescent="0.25">
      <c r="A86" t="s">
        <v>123</v>
      </c>
      <c r="B86" s="1">
        <v>45789</v>
      </c>
      <c r="C86" s="2">
        <v>0.92708333333333337</v>
      </c>
      <c r="D86" t="s">
        <v>35</v>
      </c>
      <c r="E86" t="s">
        <v>32</v>
      </c>
      <c r="F86" t="s">
        <v>45</v>
      </c>
      <c r="G86" t="s">
        <v>28</v>
      </c>
      <c r="H86" t="s">
        <v>29</v>
      </c>
      <c r="I86" t="s">
        <v>36</v>
      </c>
      <c r="J86">
        <v>7</v>
      </c>
      <c r="K86">
        <v>63</v>
      </c>
      <c r="L86">
        <v>1</v>
      </c>
      <c r="M86">
        <v>56</v>
      </c>
      <c r="N86">
        <v>284</v>
      </c>
      <c r="O86">
        <v>0</v>
      </c>
      <c r="P86">
        <v>13690</v>
      </c>
      <c r="Q86">
        <v>1.08</v>
      </c>
      <c r="R86">
        <v>14787</v>
      </c>
      <c r="S86">
        <v>530</v>
      </c>
      <c r="T86">
        <v>82</v>
      </c>
      <c r="U86">
        <v>130</v>
      </c>
      <c r="V86">
        <v>70</v>
      </c>
      <c r="W86">
        <v>265</v>
      </c>
      <c r="X86">
        <v>33</v>
      </c>
      <c r="Y86" t="s">
        <v>501</v>
      </c>
      <c r="Z86">
        <v>1077</v>
      </c>
      <c r="AA86" t="s">
        <v>498</v>
      </c>
    </row>
    <row r="87" spans="1:27" x14ac:dyDescent="0.25">
      <c r="A87" t="s">
        <v>124</v>
      </c>
      <c r="B87" s="1">
        <v>45791</v>
      </c>
      <c r="C87" s="2">
        <v>0.35972222222222222</v>
      </c>
      <c r="D87" t="s">
        <v>31</v>
      </c>
      <c r="E87" t="s">
        <v>26</v>
      </c>
      <c r="F87" t="s">
        <v>45</v>
      </c>
      <c r="G87" t="s">
        <v>28</v>
      </c>
      <c r="H87" t="s">
        <v>36</v>
      </c>
      <c r="I87" t="s">
        <v>29</v>
      </c>
      <c r="J87">
        <v>8</v>
      </c>
      <c r="K87">
        <v>24</v>
      </c>
      <c r="L87">
        <v>1</v>
      </c>
      <c r="M87">
        <v>64</v>
      </c>
      <c r="N87">
        <v>180</v>
      </c>
      <c r="O87">
        <v>352</v>
      </c>
      <c r="P87">
        <v>36547</v>
      </c>
      <c r="Q87">
        <v>1.67</v>
      </c>
      <c r="R87">
        <v>60911</v>
      </c>
      <c r="S87">
        <v>6204</v>
      </c>
      <c r="T87">
        <v>859</v>
      </c>
      <c r="U87">
        <v>1907</v>
      </c>
      <c r="V87">
        <v>204</v>
      </c>
      <c r="W87">
        <v>0</v>
      </c>
      <c r="X87">
        <v>50</v>
      </c>
      <c r="Y87" t="s">
        <v>501</v>
      </c>
      <c r="Z87">
        <v>9174</v>
      </c>
      <c r="AA87" t="s">
        <v>498</v>
      </c>
    </row>
    <row r="88" spans="1:27" x14ac:dyDescent="0.25">
      <c r="A88" t="s">
        <v>125</v>
      </c>
      <c r="B88" s="1">
        <v>45791</v>
      </c>
      <c r="C88" s="2">
        <v>0.8930555555555556</v>
      </c>
      <c r="D88" t="s">
        <v>35</v>
      </c>
      <c r="E88" t="s">
        <v>39</v>
      </c>
      <c r="F88" t="s">
        <v>33</v>
      </c>
      <c r="G88" t="s">
        <v>28</v>
      </c>
      <c r="H88" t="s">
        <v>29</v>
      </c>
      <c r="I88" t="s">
        <v>36</v>
      </c>
      <c r="J88">
        <v>2</v>
      </c>
      <c r="K88">
        <v>0</v>
      </c>
      <c r="L88">
        <v>8</v>
      </c>
      <c r="M88">
        <v>158</v>
      </c>
      <c r="N88">
        <v>166</v>
      </c>
      <c r="O88">
        <v>0</v>
      </c>
      <c r="P88">
        <v>6149</v>
      </c>
      <c r="Q88">
        <v>1.1499999999999999</v>
      </c>
      <c r="R88">
        <v>7042</v>
      </c>
      <c r="S88">
        <v>127</v>
      </c>
      <c r="T88">
        <v>50</v>
      </c>
      <c r="U88">
        <v>56</v>
      </c>
      <c r="V88">
        <v>0</v>
      </c>
      <c r="W88">
        <v>190</v>
      </c>
      <c r="X88">
        <v>5</v>
      </c>
      <c r="Y88" t="s">
        <v>497</v>
      </c>
      <c r="Z88">
        <v>423</v>
      </c>
      <c r="AA88" t="s">
        <v>498</v>
      </c>
    </row>
    <row r="89" spans="1:27" x14ac:dyDescent="0.25">
      <c r="A89" t="s">
        <v>126</v>
      </c>
      <c r="B89" s="1">
        <v>45792</v>
      </c>
      <c r="C89" s="2">
        <v>0.3125</v>
      </c>
      <c r="D89" t="s">
        <v>31</v>
      </c>
      <c r="E89" t="s">
        <v>39</v>
      </c>
      <c r="F89" t="s">
        <v>42</v>
      </c>
      <c r="G89" t="s">
        <v>28</v>
      </c>
      <c r="H89" t="s">
        <v>29</v>
      </c>
      <c r="I89" t="s">
        <v>29</v>
      </c>
      <c r="J89">
        <v>2</v>
      </c>
      <c r="K89">
        <v>0</v>
      </c>
      <c r="L89">
        <v>1</v>
      </c>
      <c r="M89">
        <v>346</v>
      </c>
      <c r="N89">
        <v>95</v>
      </c>
      <c r="O89">
        <v>0</v>
      </c>
      <c r="P89">
        <v>7044</v>
      </c>
      <c r="Q89">
        <v>1.04</v>
      </c>
      <c r="R89">
        <v>7300</v>
      </c>
      <c r="S89">
        <v>144</v>
      </c>
      <c r="T89">
        <v>56</v>
      </c>
      <c r="U89">
        <v>70</v>
      </c>
      <c r="V89">
        <v>0</v>
      </c>
      <c r="W89">
        <v>0</v>
      </c>
      <c r="X89">
        <v>6</v>
      </c>
      <c r="Y89" t="s">
        <v>499</v>
      </c>
      <c r="Z89">
        <v>270</v>
      </c>
      <c r="AA89" t="s">
        <v>498</v>
      </c>
    </row>
    <row r="90" spans="1:27" x14ac:dyDescent="0.25">
      <c r="A90" t="s">
        <v>127</v>
      </c>
      <c r="B90" s="1">
        <v>45793</v>
      </c>
      <c r="C90" s="2">
        <v>0.63263888888888886</v>
      </c>
      <c r="D90" t="s">
        <v>38</v>
      </c>
      <c r="E90" t="s">
        <v>26</v>
      </c>
      <c r="F90" t="s">
        <v>45</v>
      </c>
      <c r="G90" t="s">
        <v>28</v>
      </c>
      <c r="H90" t="s">
        <v>29</v>
      </c>
      <c r="I90" t="s">
        <v>29</v>
      </c>
      <c r="J90">
        <v>7</v>
      </c>
      <c r="K90">
        <v>35</v>
      </c>
      <c r="L90">
        <v>1</v>
      </c>
      <c r="M90">
        <v>174</v>
      </c>
      <c r="N90">
        <v>202</v>
      </c>
      <c r="O90">
        <v>0</v>
      </c>
      <c r="P90">
        <v>23032</v>
      </c>
      <c r="Q90">
        <v>1.0900000000000001</v>
      </c>
      <c r="R90">
        <v>25121</v>
      </c>
      <c r="S90">
        <v>2312</v>
      </c>
      <c r="T90">
        <v>319</v>
      </c>
      <c r="U90">
        <v>587</v>
      </c>
      <c r="V90">
        <v>66</v>
      </c>
      <c r="W90">
        <v>0</v>
      </c>
      <c r="X90">
        <v>36</v>
      </c>
      <c r="Y90" t="s">
        <v>497</v>
      </c>
      <c r="Z90">
        <v>3284</v>
      </c>
      <c r="AA90" t="s">
        <v>498</v>
      </c>
    </row>
    <row r="91" spans="1:27" x14ac:dyDescent="0.25">
      <c r="A91" t="s">
        <v>128</v>
      </c>
      <c r="B91" s="1">
        <v>45793</v>
      </c>
      <c r="C91" s="2">
        <v>0.72499999999999998</v>
      </c>
      <c r="D91" t="s">
        <v>38</v>
      </c>
      <c r="E91" t="s">
        <v>39</v>
      </c>
      <c r="F91" t="s">
        <v>27</v>
      </c>
      <c r="G91" t="s">
        <v>28</v>
      </c>
      <c r="H91" t="s">
        <v>36</v>
      </c>
      <c r="I91" t="s">
        <v>29</v>
      </c>
      <c r="J91">
        <v>3</v>
      </c>
      <c r="K91">
        <v>0</v>
      </c>
      <c r="L91">
        <v>1</v>
      </c>
      <c r="M91">
        <v>225</v>
      </c>
      <c r="N91">
        <v>175</v>
      </c>
      <c r="O91">
        <v>511</v>
      </c>
      <c r="P91">
        <v>36267</v>
      </c>
      <c r="Q91">
        <v>1.52</v>
      </c>
      <c r="R91">
        <v>54959</v>
      </c>
      <c r="S91">
        <v>1268</v>
      </c>
      <c r="T91">
        <v>430</v>
      </c>
      <c r="U91">
        <v>542</v>
      </c>
      <c r="V91">
        <v>0</v>
      </c>
      <c r="W91">
        <v>0</v>
      </c>
      <c r="X91">
        <v>50</v>
      </c>
      <c r="Y91" t="s">
        <v>497</v>
      </c>
      <c r="Z91">
        <v>2240</v>
      </c>
      <c r="AA91" t="s">
        <v>498</v>
      </c>
    </row>
    <row r="92" spans="1:27" x14ac:dyDescent="0.25">
      <c r="A92" t="s">
        <v>129</v>
      </c>
      <c r="B92" s="1">
        <v>45793</v>
      </c>
      <c r="C92" s="2">
        <v>0.84305555555555556</v>
      </c>
      <c r="D92" t="s">
        <v>35</v>
      </c>
      <c r="E92" t="s">
        <v>39</v>
      </c>
      <c r="F92" t="s">
        <v>45</v>
      </c>
      <c r="G92" t="s">
        <v>28</v>
      </c>
      <c r="H92" t="s">
        <v>36</v>
      </c>
      <c r="I92" t="s">
        <v>29</v>
      </c>
      <c r="J92">
        <v>4</v>
      </c>
      <c r="K92">
        <v>148</v>
      </c>
      <c r="L92">
        <v>1</v>
      </c>
      <c r="M92">
        <v>137</v>
      </c>
      <c r="N92">
        <v>111</v>
      </c>
      <c r="O92">
        <v>243</v>
      </c>
      <c r="P92">
        <v>18449</v>
      </c>
      <c r="Q92">
        <v>1.82</v>
      </c>
      <c r="R92">
        <v>33515</v>
      </c>
      <c r="S92">
        <v>507</v>
      </c>
      <c r="T92">
        <v>192</v>
      </c>
      <c r="U92">
        <v>249</v>
      </c>
      <c r="V92">
        <v>0</v>
      </c>
      <c r="W92">
        <v>0</v>
      </c>
      <c r="X92">
        <v>8</v>
      </c>
      <c r="Y92" t="s">
        <v>497</v>
      </c>
      <c r="Z92">
        <v>948</v>
      </c>
      <c r="AA92" t="s">
        <v>498</v>
      </c>
    </row>
    <row r="93" spans="1:27" x14ac:dyDescent="0.25">
      <c r="A93" t="s">
        <v>130</v>
      </c>
      <c r="B93" s="1">
        <v>45794</v>
      </c>
      <c r="C93" s="2">
        <v>0.44236111111111109</v>
      </c>
      <c r="D93" t="s">
        <v>31</v>
      </c>
      <c r="E93" t="s">
        <v>26</v>
      </c>
      <c r="F93" t="s">
        <v>45</v>
      </c>
      <c r="G93" t="s">
        <v>28</v>
      </c>
      <c r="H93" t="s">
        <v>29</v>
      </c>
      <c r="I93" t="s">
        <v>36</v>
      </c>
      <c r="J93">
        <v>6</v>
      </c>
      <c r="K93">
        <v>15</v>
      </c>
      <c r="L93">
        <v>1</v>
      </c>
      <c r="M93">
        <v>86</v>
      </c>
      <c r="N93">
        <v>344</v>
      </c>
      <c r="O93">
        <v>0</v>
      </c>
      <c r="P93">
        <v>29198</v>
      </c>
      <c r="Q93">
        <v>1.1299999999999999</v>
      </c>
      <c r="R93">
        <v>32908</v>
      </c>
      <c r="S93">
        <v>3977</v>
      </c>
      <c r="T93">
        <v>673</v>
      </c>
      <c r="U93">
        <v>1039</v>
      </c>
      <c r="V93">
        <v>128</v>
      </c>
      <c r="W93">
        <v>772</v>
      </c>
      <c r="X93">
        <v>29</v>
      </c>
      <c r="Y93" t="s">
        <v>501</v>
      </c>
      <c r="Z93">
        <v>6589</v>
      </c>
      <c r="AA93" t="s">
        <v>498</v>
      </c>
    </row>
    <row r="94" spans="1:27" x14ac:dyDescent="0.25">
      <c r="A94" t="s">
        <v>131</v>
      </c>
      <c r="B94" s="1">
        <v>45794</v>
      </c>
      <c r="C94" s="2">
        <v>0.50347222222222221</v>
      </c>
      <c r="D94" t="s">
        <v>25</v>
      </c>
      <c r="E94" t="s">
        <v>39</v>
      </c>
      <c r="F94" t="s">
        <v>27</v>
      </c>
      <c r="G94" t="s">
        <v>28</v>
      </c>
      <c r="H94" t="s">
        <v>29</v>
      </c>
      <c r="I94" t="s">
        <v>29</v>
      </c>
      <c r="J94">
        <v>2</v>
      </c>
      <c r="K94">
        <v>0</v>
      </c>
      <c r="L94">
        <v>1</v>
      </c>
      <c r="M94">
        <v>186</v>
      </c>
      <c r="N94">
        <v>123</v>
      </c>
      <c r="O94">
        <v>0</v>
      </c>
      <c r="P94">
        <v>8005</v>
      </c>
      <c r="Q94">
        <v>1.18</v>
      </c>
      <c r="R94">
        <v>9427</v>
      </c>
      <c r="S94">
        <v>105</v>
      </c>
      <c r="T94">
        <v>41</v>
      </c>
      <c r="U94">
        <v>48</v>
      </c>
      <c r="V94">
        <v>0</v>
      </c>
      <c r="W94">
        <v>0</v>
      </c>
      <c r="X94">
        <v>12</v>
      </c>
      <c r="Y94" t="s">
        <v>497</v>
      </c>
      <c r="Z94">
        <v>194</v>
      </c>
      <c r="AA94" t="s">
        <v>498</v>
      </c>
    </row>
    <row r="95" spans="1:27" x14ac:dyDescent="0.25">
      <c r="A95" t="s">
        <v>132</v>
      </c>
      <c r="B95" s="1">
        <v>45794</v>
      </c>
      <c r="C95" s="2">
        <v>0.51111111111111107</v>
      </c>
      <c r="D95" t="s">
        <v>25</v>
      </c>
      <c r="E95" t="s">
        <v>39</v>
      </c>
      <c r="F95" t="s">
        <v>45</v>
      </c>
      <c r="G95" t="s">
        <v>28</v>
      </c>
      <c r="H95" t="s">
        <v>36</v>
      </c>
      <c r="I95" t="s">
        <v>29</v>
      </c>
      <c r="J95">
        <v>1</v>
      </c>
      <c r="K95">
        <v>117</v>
      </c>
      <c r="L95">
        <v>1</v>
      </c>
      <c r="M95">
        <v>71</v>
      </c>
      <c r="N95">
        <v>186</v>
      </c>
      <c r="O95">
        <v>579</v>
      </c>
      <c r="P95">
        <v>12741</v>
      </c>
      <c r="Q95">
        <v>1.45</v>
      </c>
      <c r="R95">
        <v>18490</v>
      </c>
      <c r="S95">
        <v>387</v>
      </c>
      <c r="T95">
        <v>138</v>
      </c>
      <c r="U95">
        <v>187</v>
      </c>
      <c r="V95">
        <v>0</v>
      </c>
      <c r="W95">
        <v>0</v>
      </c>
      <c r="X95">
        <v>15</v>
      </c>
      <c r="Y95" t="s">
        <v>501</v>
      </c>
      <c r="Z95">
        <v>712</v>
      </c>
      <c r="AA95" t="s">
        <v>498</v>
      </c>
    </row>
    <row r="96" spans="1:27" x14ac:dyDescent="0.25">
      <c r="A96" t="s">
        <v>133</v>
      </c>
      <c r="B96" s="1">
        <v>45794</v>
      </c>
      <c r="C96" s="2">
        <v>0.63749999999999996</v>
      </c>
      <c r="D96" t="s">
        <v>38</v>
      </c>
      <c r="E96" t="s">
        <v>26</v>
      </c>
      <c r="F96" t="s">
        <v>27</v>
      </c>
      <c r="G96" t="s">
        <v>28</v>
      </c>
      <c r="H96" t="s">
        <v>29</v>
      </c>
      <c r="I96" t="s">
        <v>29</v>
      </c>
      <c r="J96">
        <v>6</v>
      </c>
      <c r="K96">
        <v>0</v>
      </c>
      <c r="L96">
        <v>1</v>
      </c>
      <c r="M96">
        <v>193</v>
      </c>
      <c r="N96">
        <v>73</v>
      </c>
      <c r="O96">
        <v>0</v>
      </c>
      <c r="P96">
        <v>20299</v>
      </c>
      <c r="Q96">
        <v>1.29</v>
      </c>
      <c r="R96">
        <v>26219</v>
      </c>
      <c r="S96">
        <v>898</v>
      </c>
      <c r="T96">
        <v>109</v>
      </c>
      <c r="U96">
        <v>243</v>
      </c>
      <c r="V96">
        <v>24</v>
      </c>
      <c r="W96">
        <v>0</v>
      </c>
      <c r="X96">
        <v>27</v>
      </c>
      <c r="Y96" t="s">
        <v>497</v>
      </c>
      <c r="Z96">
        <v>1274</v>
      </c>
      <c r="AA96" t="s">
        <v>498</v>
      </c>
    </row>
    <row r="97" spans="1:27" x14ac:dyDescent="0.25">
      <c r="A97" t="s">
        <v>134</v>
      </c>
      <c r="B97" s="1">
        <v>45795</v>
      </c>
      <c r="C97" s="2">
        <v>0.38958333333333334</v>
      </c>
      <c r="D97" t="s">
        <v>31</v>
      </c>
      <c r="E97" t="s">
        <v>26</v>
      </c>
      <c r="F97" t="s">
        <v>45</v>
      </c>
      <c r="G97" t="s">
        <v>28</v>
      </c>
      <c r="H97" t="s">
        <v>36</v>
      </c>
      <c r="I97" t="s">
        <v>29</v>
      </c>
      <c r="J97">
        <v>7</v>
      </c>
      <c r="K97">
        <v>59</v>
      </c>
      <c r="L97">
        <v>1</v>
      </c>
      <c r="M97">
        <v>55</v>
      </c>
      <c r="N97">
        <v>297</v>
      </c>
      <c r="O97">
        <v>326</v>
      </c>
      <c r="P97">
        <v>15136</v>
      </c>
      <c r="Q97">
        <v>1.41</v>
      </c>
      <c r="R97">
        <v>21390</v>
      </c>
      <c r="S97">
        <v>1811</v>
      </c>
      <c r="T97">
        <v>264</v>
      </c>
      <c r="U97">
        <v>436</v>
      </c>
      <c r="V97">
        <v>51</v>
      </c>
      <c r="W97">
        <v>0</v>
      </c>
      <c r="X97">
        <v>7</v>
      </c>
      <c r="Y97" t="s">
        <v>501</v>
      </c>
      <c r="Z97">
        <v>2562</v>
      </c>
      <c r="AA97" t="s">
        <v>498</v>
      </c>
    </row>
    <row r="98" spans="1:27" x14ac:dyDescent="0.25">
      <c r="A98" t="s">
        <v>135</v>
      </c>
      <c r="B98" s="1">
        <v>45795</v>
      </c>
      <c r="C98" s="2">
        <v>0.58958333333333335</v>
      </c>
      <c r="D98" t="s">
        <v>25</v>
      </c>
      <c r="E98" t="s">
        <v>26</v>
      </c>
      <c r="F98" t="s">
        <v>27</v>
      </c>
      <c r="G98" t="s">
        <v>28</v>
      </c>
      <c r="H98" t="s">
        <v>29</v>
      </c>
      <c r="I98" t="s">
        <v>29</v>
      </c>
      <c r="J98">
        <v>8</v>
      </c>
      <c r="K98">
        <v>0</v>
      </c>
      <c r="L98">
        <v>1</v>
      </c>
      <c r="M98">
        <v>125</v>
      </c>
      <c r="N98">
        <v>158</v>
      </c>
      <c r="O98">
        <v>0</v>
      </c>
      <c r="P98">
        <v>68522</v>
      </c>
      <c r="Q98">
        <v>1.21</v>
      </c>
      <c r="R98">
        <v>82912</v>
      </c>
      <c r="S98">
        <v>1870</v>
      </c>
      <c r="T98">
        <v>228</v>
      </c>
      <c r="U98">
        <v>493</v>
      </c>
      <c r="V98">
        <v>50</v>
      </c>
      <c r="W98">
        <v>0</v>
      </c>
      <c r="X98">
        <v>74</v>
      </c>
      <c r="Y98" t="s">
        <v>497</v>
      </c>
      <c r="Z98">
        <v>2641</v>
      </c>
      <c r="AA98" t="s">
        <v>498</v>
      </c>
    </row>
    <row r="99" spans="1:27" x14ac:dyDescent="0.25">
      <c r="A99" t="s">
        <v>136</v>
      </c>
      <c r="B99" s="1">
        <v>45795</v>
      </c>
      <c r="C99" s="2">
        <v>0.66180555555555554</v>
      </c>
      <c r="D99" t="s">
        <v>38</v>
      </c>
      <c r="E99" t="s">
        <v>32</v>
      </c>
      <c r="F99" t="s">
        <v>27</v>
      </c>
      <c r="G99" t="s">
        <v>28</v>
      </c>
      <c r="H99" t="s">
        <v>29</v>
      </c>
      <c r="I99" t="s">
        <v>36</v>
      </c>
      <c r="J99">
        <v>7</v>
      </c>
      <c r="K99">
        <v>0</v>
      </c>
      <c r="L99">
        <v>1</v>
      </c>
      <c r="M99">
        <v>222</v>
      </c>
      <c r="N99">
        <v>82</v>
      </c>
      <c r="O99">
        <v>0</v>
      </c>
      <c r="P99">
        <v>9135</v>
      </c>
      <c r="Q99">
        <v>1.47</v>
      </c>
      <c r="R99">
        <v>13442</v>
      </c>
      <c r="S99">
        <v>530</v>
      </c>
      <c r="T99">
        <v>89</v>
      </c>
      <c r="U99">
        <v>121</v>
      </c>
      <c r="V99">
        <v>70</v>
      </c>
      <c r="W99">
        <v>309</v>
      </c>
      <c r="X99">
        <v>0</v>
      </c>
      <c r="Y99" t="s">
        <v>497</v>
      </c>
      <c r="Z99">
        <v>1119</v>
      </c>
      <c r="AA99" t="s">
        <v>498</v>
      </c>
    </row>
    <row r="100" spans="1:27" x14ac:dyDescent="0.25">
      <c r="A100" t="s">
        <v>137</v>
      </c>
      <c r="B100" s="1">
        <v>45796</v>
      </c>
      <c r="C100" s="2">
        <v>0.49236111111111114</v>
      </c>
      <c r="D100" t="s">
        <v>25</v>
      </c>
      <c r="E100" t="s">
        <v>39</v>
      </c>
      <c r="F100" t="s">
        <v>45</v>
      </c>
      <c r="G100" t="s">
        <v>28</v>
      </c>
      <c r="H100" t="s">
        <v>29</v>
      </c>
      <c r="I100" t="s">
        <v>29</v>
      </c>
      <c r="J100">
        <v>1</v>
      </c>
      <c r="K100">
        <v>141</v>
      </c>
      <c r="L100">
        <v>1</v>
      </c>
      <c r="M100">
        <v>172</v>
      </c>
      <c r="N100">
        <v>205</v>
      </c>
      <c r="O100">
        <v>0</v>
      </c>
      <c r="P100">
        <v>10508</v>
      </c>
      <c r="Q100">
        <v>1.07</v>
      </c>
      <c r="R100">
        <v>11243</v>
      </c>
      <c r="S100">
        <v>191</v>
      </c>
      <c r="T100">
        <v>73</v>
      </c>
      <c r="U100">
        <v>94</v>
      </c>
      <c r="V100">
        <v>0</v>
      </c>
      <c r="W100">
        <v>0</v>
      </c>
      <c r="X100">
        <v>7</v>
      </c>
      <c r="Y100" t="s">
        <v>497</v>
      </c>
      <c r="Z100">
        <v>358</v>
      </c>
      <c r="AA100" t="s">
        <v>498</v>
      </c>
    </row>
    <row r="101" spans="1:27" x14ac:dyDescent="0.25">
      <c r="A101" t="s">
        <v>138</v>
      </c>
      <c r="B101" s="1">
        <v>45796</v>
      </c>
      <c r="C101" s="2">
        <v>0.50208333333333333</v>
      </c>
      <c r="D101" t="s">
        <v>25</v>
      </c>
      <c r="E101" t="s">
        <v>26</v>
      </c>
      <c r="F101" t="s">
        <v>45</v>
      </c>
      <c r="G101" t="s">
        <v>28</v>
      </c>
      <c r="H101" t="s">
        <v>29</v>
      </c>
      <c r="I101" t="s">
        <v>36</v>
      </c>
      <c r="J101">
        <v>7</v>
      </c>
      <c r="K101">
        <v>45</v>
      </c>
      <c r="L101">
        <v>1</v>
      </c>
      <c r="M101">
        <v>178</v>
      </c>
      <c r="N101">
        <v>148</v>
      </c>
      <c r="O101">
        <v>0</v>
      </c>
      <c r="P101">
        <v>28558</v>
      </c>
      <c r="Q101">
        <v>1.25</v>
      </c>
      <c r="R101">
        <v>35661</v>
      </c>
      <c r="S101">
        <v>2220</v>
      </c>
      <c r="T101">
        <v>258</v>
      </c>
      <c r="U101">
        <v>464</v>
      </c>
      <c r="V101">
        <v>65</v>
      </c>
      <c r="W101">
        <v>840</v>
      </c>
      <c r="X101">
        <v>25</v>
      </c>
      <c r="Y101" t="s">
        <v>497</v>
      </c>
      <c r="Z101">
        <v>3847</v>
      </c>
      <c r="AA101" t="s">
        <v>498</v>
      </c>
    </row>
    <row r="102" spans="1:27" x14ac:dyDescent="0.25">
      <c r="A102" t="s">
        <v>139</v>
      </c>
      <c r="B102" s="1">
        <v>45797</v>
      </c>
      <c r="C102" s="2">
        <v>0.46527777777777779</v>
      </c>
      <c r="D102" t="s">
        <v>25</v>
      </c>
      <c r="E102" t="s">
        <v>32</v>
      </c>
      <c r="F102" t="s">
        <v>27</v>
      </c>
      <c r="G102" t="s">
        <v>28</v>
      </c>
      <c r="H102" t="s">
        <v>29</v>
      </c>
      <c r="I102" t="s">
        <v>36</v>
      </c>
      <c r="J102">
        <v>8</v>
      </c>
      <c r="K102">
        <v>0</v>
      </c>
      <c r="L102">
        <v>1</v>
      </c>
      <c r="M102">
        <v>153</v>
      </c>
      <c r="N102">
        <v>162</v>
      </c>
      <c r="O102">
        <v>0</v>
      </c>
      <c r="P102">
        <v>13564</v>
      </c>
      <c r="Q102">
        <v>1</v>
      </c>
      <c r="R102">
        <v>13564</v>
      </c>
      <c r="S102">
        <v>263</v>
      </c>
      <c r="T102">
        <v>52</v>
      </c>
      <c r="U102">
        <v>63</v>
      </c>
      <c r="V102">
        <v>32</v>
      </c>
      <c r="W102">
        <v>297</v>
      </c>
      <c r="X102">
        <v>16</v>
      </c>
      <c r="Y102" t="s">
        <v>497</v>
      </c>
      <c r="Z102">
        <v>707</v>
      </c>
      <c r="AA102" t="s">
        <v>498</v>
      </c>
    </row>
    <row r="103" spans="1:27" x14ac:dyDescent="0.25">
      <c r="A103" t="s">
        <v>140</v>
      </c>
      <c r="B103" s="1">
        <v>45797</v>
      </c>
      <c r="C103" s="2">
        <v>0.74236111111111114</v>
      </c>
      <c r="D103" t="s">
        <v>38</v>
      </c>
      <c r="E103" t="s">
        <v>26</v>
      </c>
      <c r="F103" t="s">
        <v>33</v>
      </c>
      <c r="G103" t="s">
        <v>28</v>
      </c>
      <c r="H103" t="s">
        <v>36</v>
      </c>
      <c r="I103" t="s">
        <v>29</v>
      </c>
      <c r="J103">
        <v>7</v>
      </c>
      <c r="K103">
        <v>0</v>
      </c>
      <c r="L103">
        <v>5</v>
      </c>
      <c r="M103">
        <v>152</v>
      </c>
      <c r="N103">
        <v>94</v>
      </c>
      <c r="O103">
        <v>449</v>
      </c>
      <c r="P103">
        <v>8046</v>
      </c>
      <c r="Q103">
        <v>2.17</v>
      </c>
      <c r="R103">
        <v>17439</v>
      </c>
      <c r="S103">
        <v>398</v>
      </c>
      <c r="T103">
        <v>56</v>
      </c>
      <c r="U103">
        <v>86</v>
      </c>
      <c r="V103">
        <v>10</v>
      </c>
      <c r="W103">
        <v>0</v>
      </c>
      <c r="X103">
        <v>34</v>
      </c>
      <c r="Y103" t="s">
        <v>497</v>
      </c>
      <c r="Z103">
        <v>550</v>
      </c>
      <c r="AA103" t="s">
        <v>498</v>
      </c>
    </row>
    <row r="104" spans="1:27" x14ac:dyDescent="0.25">
      <c r="A104" t="s">
        <v>141</v>
      </c>
      <c r="B104" s="1">
        <v>45798</v>
      </c>
      <c r="C104" s="2">
        <v>0.9194444444444444</v>
      </c>
      <c r="D104" t="s">
        <v>35</v>
      </c>
      <c r="E104" t="s">
        <v>26</v>
      </c>
      <c r="F104" t="s">
        <v>33</v>
      </c>
      <c r="G104" t="s">
        <v>28</v>
      </c>
      <c r="H104" t="s">
        <v>29</v>
      </c>
      <c r="I104" t="s">
        <v>29</v>
      </c>
      <c r="J104">
        <v>6</v>
      </c>
      <c r="K104">
        <v>0</v>
      </c>
      <c r="L104">
        <v>8</v>
      </c>
      <c r="M104">
        <v>239</v>
      </c>
      <c r="N104">
        <v>125</v>
      </c>
      <c r="O104">
        <v>0</v>
      </c>
      <c r="P104">
        <v>37627</v>
      </c>
      <c r="Q104">
        <v>1</v>
      </c>
      <c r="R104">
        <v>37627</v>
      </c>
      <c r="S104">
        <v>1131</v>
      </c>
      <c r="T104">
        <v>164</v>
      </c>
      <c r="U104">
        <v>305</v>
      </c>
      <c r="V104">
        <v>27</v>
      </c>
      <c r="W104">
        <v>0</v>
      </c>
      <c r="X104">
        <v>8</v>
      </c>
      <c r="Y104" t="s">
        <v>497</v>
      </c>
      <c r="Z104">
        <v>1627</v>
      </c>
      <c r="AA104" t="s">
        <v>498</v>
      </c>
    </row>
    <row r="105" spans="1:27" x14ac:dyDescent="0.25">
      <c r="A105" t="s">
        <v>142</v>
      </c>
      <c r="B105" s="1">
        <v>45799</v>
      </c>
      <c r="C105" s="2">
        <v>0.64027777777777772</v>
      </c>
      <c r="D105" t="s">
        <v>38</v>
      </c>
      <c r="E105" t="s">
        <v>26</v>
      </c>
      <c r="F105" t="s">
        <v>27</v>
      </c>
      <c r="G105" t="s">
        <v>28</v>
      </c>
      <c r="H105" t="s">
        <v>29</v>
      </c>
      <c r="I105" t="s">
        <v>36</v>
      </c>
      <c r="J105">
        <v>8</v>
      </c>
      <c r="K105">
        <v>0</v>
      </c>
      <c r="L105">
        <v>1</v>
      </c>
      <c r="M105">
        <v>87</v>
      </c>
      <c r="N105">
        <v>84</v>
      </c>
      <c r="O105">
        <v>0</v>
      </c>
      <c r="P105">
        <v>23009</v>
      </c>
      <c r="Q105">
        <v>1</v>
      </c>
      <c r="R105">
        <v>23009</v>
      </c>
      <c r="S105">
        <v>310</v>
      </c>
      <c r="T105">
        <v>46</v>
      </c>
      <c r="U105">
        <v>68</v>
      </c>
      <c r="V105">
        <v>8</v>
      </c>
      <c r="W105">
        <v>406</v>
      </c>
      <c r="X105">
        <v>36</v>
      </c>
      <c r="Y105" t="s">
        <v>501</v>
      </c>
      <c r="Z105">
        <v>838</v>
      </c>
      <c r="AA105" t="s">
        <v>498</v>
      </c>
    </row>
    <row r="106" spans="1:27" x14ac:dyDescent="0.25">
      <c r="A106" t="s">
        <v>143</v>
      </c>
      <c r="B106" s="1">
        <v>45799</v>
      </c>
      <c r="C106" s="2">
        <v>0.73888888888888893</v>
      </c>
      <c r="D106" t="s">
        <v>38</v>
      </c>
      <c r="E106" t="s">
        <v>39</v>
      </c>
      <c r="F106" t="s">
        <v>33</v>
      </c>
      <c r="G106" t="s">
        <v>28</v>
      </c>
      <c r="H106" t="s">
        <v>36</v>
      </c>
      <c r="I106" t="s">
        <v>36</v>
      </c>
      <c r="J106">
        <v>4</v>
      </c>
      <c r="K106">
        <v>0</v>
      </c>
      <c r="L106">
        <v>4</v>
      </c>
      <c r="M106">
        <v>206</v>
      </c>
      <c r="N106">
        <v>221</v>
      </c>
      <c r="O106">
        <v>391</v>
      </c>
      <c r="P106">
        <v>63074</v>
      </c>
      <c r="Q106">
        <v>1.27</v>
      </c>
      <c r="R106">
        <v>80217</v>
      </c>
      <c r="S106">
        <v>1168</v>
      </c>
      <c r="T106">
        <v>392</v>
      </c>
      <c r="U106">
        <v>600</v>
      </c>
      <c r="V106">
        <v>0</v>
      </c>
      <c r="W106">
        <v>2777</v>
      </c>
      <c r="X106">
        <v>20</v>
      </c>
      <c r="Y106" t="s">
        <v>497</v>
      </c>
      <c r="Z106">
        <v>4937</v>
      </c>
      <c r="AA106" t="s">
        <v>498</v>
      </c>
    </row>
    <row r="107" spans="1:27" x14ac:dyDescent="0.25">
      <c r="A107" t="s">
        <v>144</v>
      </c>
      <c r="B107" s="1">
        <v>45799</v>
      </c>
      <c r="C107" s="2">
        <v>0.9145833333333333</v>
      </c>
      <c r="D107" t="s">
        <v>35</v>
      </c>
      <c r="E107" t="s">
        <v>26</v>
      </c>
      <c r="F107" t="s">
        <v>45</v>
      </c>
      <c r="G107" t="s">
        <v>28</v>
      </c>
      <c r="H107" t="s">
        <v>29</v>
      </c>
      <c r="I107" t="s">
        <v>29</v>
      </c>
      <c r="J107">
        <v>8</v>
      </c>
      <c r="K107">
        <v>22</v>
      </c>
      <c r="L107">
        <v>1</v>
      </c>
      <c r="M107">
        <v>84</v>
      </c>
      <c r="N107">
        <v>250</v>
      </c>
      <c r="O107">
        <v>0</v>
      </c>
      <c r="P107">
        <v>37398</v>
      </c>
      <c r="Q107">
        <v>1.44</v>
      </c>
      <c r="R107">
        <v>53964</v>
      </c>
      <c r="S107">
        <v>7090</v>
      </c>
      <c r="T107">
        <v>1064</v>
      </c>
      <c r="U107">
        <v>1832</v>
      </c>
      <c r="V107">
        <v>194</v>
      </c>
      <c r="W107">
        <v>0</v>
      </c>
      <c r="X107">
        <v>141</v>
      </c>
      <c r="Y107" t="s">
        <v>501</v>
      </c>
      <c r="Z107">
        <v>10180</v>
      </c>
      <c r="AA107" t="s">
        <v>500</v>
      </c>
    </row>
    <row r="108" spans="1:27" x14ac:dyDescent="0.25">
      <c r="A108" t="s">
        <v>145</v>
      </c>
      <c r="B108" s="1">
        <v>45802</v>
      </c>
      <c r="C108" s="2">
        <v>0.77152777777777781</v>
      </c>
      <c r="D108" t="s">
        <v>38</v>
      </c>
      <c r="E108" t="s">
        <v>26</v>
      </c>
      <c r="F108" t="s">
        <v>33</v>
      </c>
      <c r="G108" t="s">
        <v>28</v>
      </c>
      <c r="H108" t="s">
        <v>29</v>
      </c>
      <c r="I108" t="s">
        <v>36</v>
      </c>
      <c r="J108">
        <v>7</v>
      </c>
      <c r="K108">
        <v>0</v>
      </c>
      <c r="L108">
        <v>9</v>
      </c>
      <c r="M108">
        <v>113</v>
      </c>
      <c r="N108">
        <v>144</v>
      </c>
      <c r="O108">
        <v>0</v>
      </c>
      <c r="P108">
        <v>27563</v>
      </c>
      <c r="Q108">
        <v>1.51</v>
      </c>
      <c r="R108">
        <v>41729</v>
      </c>
      <c r="S108">
        <v>1367</v>
      </c>
      <c r="T108">
        <v>214</v>
      </c>
      <c r="U108">
        <v>372</v>
      </c>
      <c r="V108">
        <v>40</v>
      </c>
      <c r="W108">
        <v>1235</v>
      </c>
      <c r="X108">
        <v>3</v>
      </c>
      <c r="Y108" t="s">
        <v>497</v>
      </c>
      <c r="Z108">
        <v>3228</v>
      </c>
      <c r="AA108" t="s">
        <v>498</v>
      </c>
    </row>
    <row r="109" spans="1:27" x14ac:dyDescent="0.25">
      <c r="A109" t="s">
        <v>146</v>
      </c>
      <c r="B109" s="1">
        <v>45803</v>
      </c>
      <c r="C109" s="2">
        <v>0.26666666666666666</v>
      </c>
      <c r="D109" t="s">
        <v>31</v>
      </c>
      <c r="E109" t="s">
        <v>48</v>
      </c>
      <c r="F109" t="s">
        <v>45</v>
      </c>
      <c r="G109" t="s">
        <v>28</v>
      </c>
      <c r="H109" t="s">
        <v>29</v>
      </c>
      <c r="I109" t="s">
        <v>36</v>
      </c>
      <c r="J109">
        <v>2</v>
      </c>
      <c r="K109">
        <v>57</v>
      </c>
      <c r="L109">
        <v>1</v>
      </c>
      <c r="M109">
        <v>55</v>
      </c>
      <c r="N109">
        <v>129</v>
      </c>
      <c r="O109">
        <v>0</v>
      </c>
      <c r="P109">
        <v>4968</v>
      </c>
      <c r="Q109">
        <v>1.1000000000000001</v>
      </c>
      <c r="R109">
        <v>5462</v>
      </c>
      <c r="S109">
        <v>53</v>
      </c>
      <c r="T109">
        <v>13</v>
      </c>
      <c r="U109">
        <v>18</v>
      </c>
      <c r="V109">
        <v>4</v>
      </c>
      <c r="W109">
        <v>152</v>
      </c>
      <c r="X109">
        <v>10</v>
      </c>
      <c r="Y109" t="s">
        <v>501</v>
      </c>
      <c r="Z109">
        <v>240</v>
      </c>
      <c r="AA109" t="s">
        <v>498</v>
      </c>
    </row>
    <row r="110" spans="1:27" x14ac:dyDescent="0.25">
      <c r="A110" t="s">
        <v>147</v>
      </c>
      <c r="B110" s="1">
        <v>45803</v>
      </c>
      <c r="C110" s="2">
        <v>0.51111111111111107</v>
      </c>
      <c r="D110" t="s">
        <v>25</v>
      </c>
      <c r="E110" t="s">
        <v>39</v>
      </c>
      <c r="F110" t="s">
        <v>45</v>
      </c>
      <c r="G110" t="s">
        <v>28</v>
      </c>
      <c r="H110" t="s">
        <v>29</v>
      </c>
      <c r="I110" t="s">
        <v>29</v>
      </c>
      <c r="J110">
        <v>1</v>
      </c>
      <c r="K110">
        <v>113</v>
      </c>
      <c r="L110">
        <v>1</v>
      </c>
      <c r="M110">
        <v>96</v>
      </c>
      <c r="N110">
        <v>130</v>
      </c>
      <c r="O110">
        <v>0</v>
      </c>
      <c r="P110">
        <v>6930</v>
      </c>
      <c r="Q110">
        <v>1.31</v>
      </c>
      <c r="R110">
        <v>9096</v>
      </c>
      <c r="S110">
        <v>208</v>
      </c>
      <c r="T110">
        <v>73</v>
      </c>
      <c r="U110">
        <v>115</v>
      </c>
      <c r="V110">
        <v>0</v>
      </c>
      <c r="W110">
        <v>0</v>
      </c>
      <c r="X110">
        <v>4</v>
      </c>
      <c r="Y110" t="s">
        <v>501</v>
      </c>
      <c r="Z110">
        <v>396</v>
      </c>
      <c r="AA110" t="s">
        <v>498</v>
      </c>
    </row>
    <row r="111" spans="1:27" x14ac:dyDescent="0.25">
      <c r="A111" t="s">
        <v>148</v>
      </c>
      <c r="B111" s="1">
        <v>45803</v>
      </c>
      <c r="C111" s="2">
        <v>0.55347222222222225</v>
      </c>
      <c r="D111" t="s">
        <v>25</v>
      </c>
      <c r="E111" t="s">
        <v>32</v>
      </c>
      <c r="F111" t="s">
        <v>45</v>
      </c>
      <c r="G111" t="s">
        <v>28</v>
      </c>
      <c r="H111" t="s">
        <v>29</v>
      </c>
      <c r="I111" t="s">
        <v>29</v>
      </c>
      <c r="J111">
        <v>8</v>
      </c>
      <c r="K111">
        <v>25</v>
      </c>
      <c r="L111">
        <v>1</v>
      </c>
      <c r="M111">
        <v>167</v>
      </c>
      <c r="N111">
        <v>336</v>
      </c>
      <c r="O111">
        <v>0</v>
      </c>
      <c r="P111">
        <v>7134</v>
      </c>
      <c r="Q111">
        <v>1.26</v>
      </c>
      <c r="R111">
        <v>8953</v>
      </c>
      <c r="S111">
        <v>275</v>
      </c>
      <c r="T111">
        <v>46</v>
      </c>
      <c r="U111">
        <v>52</v>
      </c>
      <c r="V111">
        <v>31</v>
      </c>
      <c r="W111">
        <v>0</v>
      </c>
      <c r="X111">
        <v>12</v>
      </c>
      <c r="Y111" t="s">
        <v>497</v>
      </c>
      <c r="Z111">
        <v>404</v>
      </c>
      <c r="AA111" t="s">
        <v>498</v>
      </c>
    </row>
    <row r="112" spans="1:27" x14ac:dyDescent="0.25">
      <c r="A112" t="s">
        <v>149</v>
      </c>
      <c r="B112" s="1">
        <v>45803</v>
      </c>
      <c r="C112" s="2">
        <v>0.83750000000000002</v>
      </c>
      <c r="D112" t="s">
        <v>35</v>
      </c>
      <c r="E112" t="s">
        <v>48</v>
      </c>
      <c r="F112" t="s">
        <v>45</v>
      </c>
      <c r="G112" t="s">
        <v>28</v>
      </c>
      <c r="H112" t="s">
        <v>36</v>
      </c>
      <c r="I112" t="s">
        <v>36</v>
      </c>
      <c r="J112">
        <v>4</v>
      </c>
      <c r="K112">
        <v>51</v>
      </c>
      <c r="L112">
        <v>1</v>
      </c>
      <c r="M112">
        <v>61</v>
      </c>
      <c r="N112">
        <v>156</v>
      </c>
      <c r="O112">
        <v>169</v>
      </c>
      <c r="P112">
        <v>20806</v>
      </c>
      <c r="Q112">
        <v>1.38</v>
      </c>
      <c r="R112">
        <v>28744</v>
      </c>
      <c r="S112">
        <v>359</v>
      </c>
      <c r="T112">
        <v>101</v>
      </c>
      <c r="U112">
        <v>121</v>
      </c>
      <c r="V112">
        <v>35</v>
      </c>
      <c r="W112">
        <v>653</v>
      </c>
      <c r="X112">
        <v>8</v>
      </c>
      <c r="Y112" t="s">
        <v>501</v>
      </c>
      <c r="Z112">
        <v>1269</v>
      </c>
      <c r="AA112" t="s">
        <v>498</v>
      </c>
    </row>
    <row r="113" spans="1:27" x14ac:dyDescent="0.25">
      <c r="A113" t="s">
        <v>150</v>
      </c>
      <c r="B113" s="1">
        <v>45806</v>
      </c>
      <c r="C113" s="2">
        <v>0.70763888888888893</v>
      </c>
      <c r="D113" t="s">
        <v>38</v>
      </c>
      <c r="E113" t="s">
        <v>48</v>
      </c>
      <c r="F113" t="s">
        <v>42</v>
      </c>
      <c r="G113" t="s">
        <v>28</v>
      </c>
      <c r="H113" t="s">
        <v>29</v>
      </c>
      <c r="I113" t="s">
        <v>29</v>
      </c>
      <c r="J113">
        <v>4</v>
      </c>
      <c r="K113">
        <v>0</v>
      </c>
      <c r="L113">
        <v>1</v>
      </c>
      <c r="M113">
        <v>169</v>
      </c>
      <c r="N113">
        <v>36</v>
      </c>
      <c r="O113">
        <v>0</v>
      </c>
      <c r="P113">
        <v>10437</v>
      </c>
      <c r="Q113">
        <v>1</v>
      </c>
      <c r="R113">
        <v>10437</v>
      </c>
      <c r="S113">
        <v>229</v>
      </c>
      <c r="T113">
        <v>50</v>
      </c>
      <c r="U113">
        <v>69</v>
      </c>
      <c r="V113">
        <v>18</v>
      </c>
      <c r="W113">
        <v>0</v>
      </c>
      <c r="X113">
        <v>13</v>
      </c>
      <c r="Y113" t="s">
        <v>497</v>
      </c>
      <c r="Z113">
        <v>366</v>
      </c>
      <c r="AA113" t="s">
        <v>498</v>
      </c>
    </row>
    <row r="114" spans="1:27" x14ac:dyDescent="0.25">
      <c r="A114" t="s">
        <v>151</v>
      </c>
      <c r="B114" s="1">
        <v>45806</v>
      </c>
      <c r="C114" s="2">
        <v>0.71805555555555556</v>
      </c>
      <c r="D114" t="s">
        <v>38</v>
      </c>
      <c r="E114" t="s">
        <v>39</v>
      </c>
      <c r="F114" t="s">
        <v>42</v>
      </c>
      <c r="G114" t="s">
        <v>28</v>
      </c>
      <c r="H114" t="s">
        <v>29</v>
      </c>
      <c r="I114" t="s">
        <v>29</v>
      </c>
      <c r="J114">
        <v>3</v>
      </c>
      <c r="K114">
        <v>0</v>
      </c>
      <c r="L114">
        <v>1</v>
      </c>
      <c r="M114">
        <v>215</v>
      </c>
      <c r="N114">
        <v>65</v>
      </c>
      <c r="O114">
        <v>0</v>
      </c>
      <c r="P114">
        <v>7075</v>
      </c>
      <c r="Q114">
        <v>1.3</v>
      </c>
      <c r="R114">
        <v>9199</v>
      </c>
      <c r="S114">
        <v>175</v>
      </c>
      <c r="T114">
        <v>56</v>
      </c>
      <c r="U114">
        <v>84</v>
      </c>
      <c r="V114">
        <v>0</v>
      </c>
      <c r="W114">
        <v>0</v>
      </c>
      <c r="X114">
        <v>0</v>
      </c>
      <c r="Y114" t="s">
        <v>497</v>
      </c>
      <c r="Z114">
        <v>315</v>
      </c>
      <c r="AA114" t="s">
        <v>498</v>
      </c>
    </row>
    <row r="115" spans="1:27" x14ac:dyDescent="0.25">
      <c r="A115" t="s">
        <v>152</v>
      </c>
      <c r="B115" s="1">
        <v>45806</v>
      </c>
      <c r="C115" s="2">
        <v>0.84027777777777779</v>
      </c>
      <c r="D115" t="s">
        <v>35</v>
      </c>
      <c r="E115" t="s">
        <v>32</v>
      </c>
      <c r="F115" t="s">
        <v>45</v>
      </c>
      <c r="G115" t="s">
        <v>28</v>
      </c>
      <c r="H115" t="s">
        <v>29</v>
      </c>
      <c r="I115" t="s">
        <v>36</v>
      </c>
      <c r="J115">
        <v>9</v>
      </c>
      <c r="K115">
        <v>62</v>
      </c>
      <c r="L115">
        <v>1</v>
      </c>
      <c r="M115">
        <v>97</v>
      </c>
      <c r="N115">
        <v>184</v>
      </c>
      <c r="O115">
        <v>0</v>
      </c>
      <c r="P115">
        <v>27802</v>
      </c>
      <c r="Q115">
        <v>1.04</v>
      </c>
      <c r="R115">
        <v>28903</v>
      </c>
      <c r="S115">
        <v>1346</v>
      </c>
      <c r="T115">
        <v>246</v>
      </c>
      <c r="U115">
        <v>324</v>
      </c>
      <c r="V115">
        <v>153</v>
      </c>
      <c r="W115">
        <v>636</v>
      </c>
      <c r="X115">
        <v>22</v>
      </c>
      <c r="Y115" t="s">
        <v>501</v>
      </c>
      <c r="Z115">
        <v>2705</v>
      </c>
      <c r="AA115" t="s">
        <v>498</v>
      </c>
    </row>
    <row r="116" spans="1:27" x14ac:dyDescent="0.25">
      <c r="A116" t="s">
        <v>153</v>
      </c>
      <c r="B116" s="1">
        <v>45807</v>
      </c>
      <c r="C116" s="2">
        <v>0.59027777777777779</v>
      </c>
      <c r="D116" t="s">
        <v>25</v>
      </c>
      <c r="E116" t="s">
        <v>32</v>
      </c>
      <c r="F116" t="s">
        <v>33</v>
      </c>
      <c r="G116" t="s">
        <v>28</v>
      </c>
      <c r="H116" t="s">
        <v>29</v>
      </c>
      <c r="I116" t="s">
        <v>36</v>
      </c>
      <c r="J116">
        <v>10</v>
      </c>
      <c r="K116">
        <v>0</v>
      </c>
      <c r="L116">
        <v>5</v>
      </c>
      <c r="M116">
        <v>155</v>
      </c>
      <c r="N116">
        <v>111</v>
      </c>
      <c r="O116">
        <v>0</v>
      </c>
      <c r="P116">
        <v>16832</v>
      </c>
      <c r="Q116">
        <v>1.1000000000000001</v>
      </c>
      <c r="R116">
        <v>18543</v>
      </c>
      <c r="S116">
        <v>894</v>
      </c>
      <c r="T116">
        <v>144</v>
      </c>
      <c r="U116">
        <v>217</v>
      </c>
      <c r="V116">
        <v>112</v>
      </c>
      <c r="W116">
        <v>569</v>
      </c>
      <c r="X116">
        <v>25</v>
      </c>
      <c r="Y116" t="s">
        <v>497</v>
      </c>
      <c r="Z116">
        <v>1936</v>
      </c>
      <c r="AA116" t="s">
        <v>498</v>
      </c>
    </row>
    <row r="117" spans="1:27" x14ac:dyDescent="0.25">
      <c r="A117" t="s">
        <v>154</v>
      </c>
      <c r="B117" s="1">
        <v>45808</v>
      </c>
      <c r="C117" s="2">
        <v>0.37013888888888891</v>
      </c>
      <c r="D117" t="s">
        <v>31</v>
      </c>
      <c r="E117" t="s">
        <v>39</v>
      </c>
      <c r="F117" t="s">
        <v>33</v>
      </c>
      <c r="G117" t="s">
        <v>28</v>
      </c>
      <c r="H117" t="s">
        <v>36</v>
      </c>
      <c r="I117" t="s">
        <v>29</v>
      </c>
      <c r="J117">
        <v>1</v>
      </c>
      <c r="K117">
        <v>0</v>
      </c>
      <c r="L117">
        <v>8</v>
      </c>
      <c r="M117">
        <v>225</v>
      </c>
      <c r="N117">
        <v>81</v>
      </c>
      <c r="O117">
        <v>295</v>
      </c>
      <c r="P117">
        <v>17856</v>
      </c>
      <c r="Q117">
        <v>1.5</v>
      </c>
      <c r="R117">
        <v>26705</v>
      </c>
      <c r="S117">
        <v>294</v>
      </c>
      <c r="T117">
        <v>104</v>
      </c>
      <c r="U117">
        <v>143</v>
      </c>
      <c r="V117">
        <v>0</v>
      </c>
      <c r="W117">
        <v>0</v>
      </c>
      <c r="X117">
        <v>3</v>
      </c>
      <c r="Y117" t="s">
        <v>497</v>
      </c>
      <c r="Z117">
        <v>541</v>
      </c>
      <c r="AA117" t="s">
        <v>498</v>
      </c>
    </row>
    <row r="118" spans="1:27" x14ac:dyDescent="0.25">
      <c r="A118" t="s">
        <v>155</v>
      </c>
      <c r="B118" s="1">
        <v>45808</v>
      </c>
      <c r="C118" s="2">
        <v>0.5493055555555556</v>
      </c>
      <c r="D118" t="s">
        <v>25</v>
      </c>
      <c r="E118" t="s">
        <v>48</v>
      </c>
      <c r="F118" t="s">
        <v>33</v>
      </c>
      <c r="G118" t="s">
        <v>28</v>
      </c>
      <c r="H118" t="s">
        <v>29</v>
      </c>
      <c r="I118" t="s">
        <v>29</v>
      </c>
      <c r="J118">
        <v>3</v>
      </c>
      <c r="K118">
        <v>0</v>
      </c>
      <c r="L118">
        <v>6</v>
      </c>
      <c r="M118">
        <v>288</v>
      </c>
      <c r="N118">
        <v>165</v>
      </c>
      <c r="O118">
        <v>0</v>
      </c>
      <c r="P118">
        <v>6598</v>
      </c>
      <c r="Q118">
        <v>1.08</v>
      </c>
      <c r="R118">
        <v>7144</v>
      </c>
      <c r="S118">
        <v>120</v>
      </c>
      <c r="T118">
        <v>29</v>
      </c>
      <c r="U118">
        <v>44</v>
      </c>
      <c r="V118">
        <v>9</v>
      </c>
      <c r="W118">
        <v>0</v>
      </c>
      <c r="X118">
        <v>8</v>
      </c>
      <c r="Y118" t="s">
        <v>499</v>
      </c>
      <c r="Z118">
        <v>202</v>
      </c>
      <c r="AA118" t="s">
        <v>498</v>
      </c>
    </row>
    <row r="119" spans="1:27" x14ac:dyDescent="0.25">
      <c r="A119" t="s">
        <v>156</v>
      </c>
      <c r="B119" s="1">
        <v>45809</v>
      </c>
      <c r="C119" s="2">
        <v>0.47222222222222221</v>
      </c>
      <c r="D119" t="s">
        <v>25</v>
      </c>
      <c r="E119" t="s">
        <v>39</v>
      </c>
      <c r="F119" t="s">
        <v>27</v>
      </c>
      <c r="G119" t="s">
        <v>157</v>
      </c>
      <c r="H119" t="s">
        <v>29</v>
      </c>
      <c r="I119" t="s">
        <v>29</v>
      </c>
      <c r="J119">
        <v>4</v>
      </c>
      <c r="K119">
        <v>0</v>
      </c>
      <c r="L119">
        <v>1</v>
      </c>
      <c r="M119">
        <v>169</v>
      </c>
      <c r="N119">
        <v>163</v>
      </c>
      <c r="O119">
        <v>0</v>
      </c>
      <c r="P119">
        <v>8059</v>
      </c>
      <c r="Q119">
        <v>1.18</v>
      </c>
      <c r="R119">
        <v>9524</v>
      </c>
      <c r="S119">
        <v>136</v>
      </c>
      <c r="T119">
        <v>58</v>
      </c>
      <c r="U119">
        <v>59</v>
      </c>
      <c r="V119">
        <v>0</v>
      </c>
      <c r="W119">
        <v>0</v>
      </c>
      <c r="X119">
        <v>7</v>
      </c>
      <c r="Y119" t="s">
        <v>497</v>
      </c>
      <c r="Z119">
        <v>253</v>
      </c>
      <c r="AA119" t="s">
        <v>498</v>
      </c>
    </row>
    <row r="120" spans="1:27" x14ac:dyDescent="0.25">
      <c r="A120" t="s">
        <v>158</v>
      </c>
      <c r="B120" s="1">
        <v>45809</v>
      </c>
      <c r="C120" s="2">
        <v>0.8305555555555556</v>
      </c>
      <c r="D120" t="s">
        <v>35</v>
      </c>
      <c r="E120" t="s">
        <v>26</v>
      </c>
      <c r="F120" t="s">
        <v>45</v>
      </c>
      <c r="G120" t="s">
        <v>157</v>
      </c>
      <c r="H120" t="s">
        <v>29</v>
      </c>
      <c r="I120" t="s">
        <v>36</v>
      </c>
      <c r="J120">
        <v>7</v>
      </c>
      <c r="K120">
        <v>44</v>
      </c>
      <c r="L120">
        <v>1</v>
      </c>
      <c r="M120">
        <v>52</v>
      </c>
      <c r="N120">
        <v>198</v>
      </c>
      <c r="O120">
        <v>0</v>
      </c>
      <c r="P120">
        <v>23760</v>
      </c>
      <c r="Q120">
        <v>1.08</v>
      </c>
      <c r="R120">
        <v>25766</v>
      </c>
      <c r="S120">
        <v>2865</v>
      </c>
      <c r="T120">
        <v>441</v>
      </c>
      <c r="U120">
        <v>758</v>
      </c>
      <c r="V120">
        <v>87</v>
      </c>
      <c r="W120">
        <v>641</v>
      </c>
      <c r="X120">
        <v>26</v>
      </c>
      <c r="Y120" t="s">
        <v>501</v>
      </c>
      <c r="Z120">
        <v>4792</v>
      </c>
      <c r="AA120" t="s">
        <v>498</v>
      </c>
    </row>
    <row r="121" spans="1:27" x14ac:dyDescent="0.25">
      <c r="A121" t="s">
        <v>159</v>
      </c>
      <c r="B121" s="1">
        <v>45809</v>
      </c>
      <c r="C121" s="2">
        <v>0.85069444444444442</v>
      </c>
      <c r="D121" t="s">
        <v>35</v>
      </c>
      <c r="E121" t="s">
        <v>26</v>
      </c>
      <c r="F121" t="s">
        <v>45</v>
      </c>
      <c r="G121" t="s">
        <v>157</v>
      </c>
      <c r="H121" t="s">
        <v>36</v>
      </c>
      <c r="I121" t="s">
        <v>29</v>
      </c>
      <c r="J121">
        <v>8</v>
      </c>
      <c r="K121">
        <v>27</v>
      </c>
      <c r="L121">
        <v>1</v>
      </c>
      <c r="M121">
        <v>166</v>
      </c>
      <c r="N121">
        <v>108</v>
      </c>
      <c r="O121">
        <v>590</v>
      </c>
      <c r="P121">
        <v>100069</v>
      </c>
      <c r="Q121">
        <v>1.63</v>
      </c>
      <c r="R121">
        <v>162913</v>
      </c>
      <c r="S121">
        <v>20556</v>
      </c>
      <c r="T121">
        <v>2496</v>
      </c>
      <c r="U121">
        <v>4478</v>
      </c>
      <c r="V121">
        <v>554</v>
      </c>
      <c r="W121">
        <v>0</v>
      </c>
      <c r="X121">
        <v>55</v>
      </c>
      <c r="Y121" t="s">
        <v>497</v>
      </c>
      <c r="Z121">
        <v>28084</v>
      </c>
      <c r="AA121" t="s">
        <v>500</v>
      </c>
    </row>
    <row r="122" spans="1:27" x14ac:dyDescent="0.25">
      <c r="A122" t="s">
        <v>160</v>
      </c>
      <c r="B122" s="1">
        <v>45810</v>
      </c>
      <c r="C122" s="2">
        <v>0.2986111111111111</v>
      </c>
      <c r="D122" t="s">
        <v>31</v>
      </c>
      <c r="E122" t="s">
        <v>26</v>
      </c>
      <c r="F122" t="s">
        <v>45</v>
      </c>
      <c r="G122" t="s">
        <v>157</v>
      </c>
      <c r="H122" t="s">
        <v>29</v>
      </c>
      <c r="I122" t="s">
        <v>29</v>
      </c>
      <c r="J122">
        <v>4</v>
      </c>
      <c r="K122">
        <v>22</v>
      </c>
      <c r="L122">
        <v>1</v>
      </c>
      <c r="M122">
        <v>126</v>
      </c>
      <c r="N122">
        <v>336</v>
      </c>
      <c r="O122">
        <v>0</v>
      </c>
      <c r="P122">
        <v>26127</v>
      </c>
      <c r="Q122">
        <v>1.31</v>
      </c>
      <c r="R122">
        <v>34293</v>
      </c>
      <c r="S122">
        <v>4378</v>
      </c>
      <c r="T122">
        <v>646</v>
      </c>
      <c r="U122">
        <v>1070</v>
      </c>
      <c r="V122">
        <v>110</v>
      </c>
      <c r="W122">
        <v>0</v>
      </c>
      <c r="X122">
        <v>22</v>
      </c>
      <c r="Y122" t="s">
        <v>497</v>
      </c>
      <c r="Z122">
        <v>6204</v>
      </c>
      <c r="AA122" t="s">
        <v>498</v>
      </c>
    </row>
    <row r="123" spans="1:27" x14ac:dyDescent="0.25">
      <c r="A123" t="s">
        <v>161</v>
      </c>
      <c r="B123" s="1">
        <v>45810</v>
      </c>
      <c r="C123" s="2">
        <v>0.3888888888888889</v>
      </c>
      <c r="D123" t="s">
        <v>31</v>
      </c>
      <c r="E123" t="s">
        <v>32</v>
      </c>
      <c r="F123" t="s">
        <v>27</v>
      </c>
      <c r="G123" t="s">
        <v>157</v>
      </c>
      <c r="H123" t="s">
        <v>29</v>
      </c>
      <c r="I123" t="s">
        <v>36</v>
      </c>
      <c r="J123">
        <v>11</v>
      </c>
      <c r="K123">
        <v>0</v>
      </c>
      <c r="L123">
        <v>1</v>
      </c>
      <c r="M123">
        <v>144</v>
      </c>
      <c r="N123">
        <v>79</v>
      </c>
      <c r="O123">
        <v>0</v>
      </c>
      <c r="P123">
        <v>11837</v>
      </c>
      <c r="Q123">
        <v>1.1399999999999999</v>
      </c>
      <c r="R123">
        <v>13480</v>
      </c>
      <c r="S123">
        <v>192</v>
      </c>
      <c r="T123">
        <v>44</v>
      </c>
      <c r="U123">
        <v>44</v>
      </c>
      <c r="V123">
        <v>22</v>
      </c>
      <c r="W123">
        <v>343</v>
      </c>
      <c r="X123">
        <v>11</v>
      </c>
      <c r="Y123" t="s">
        <v>497</v>
      </c>
      <c r="Z123">
        <v>645</v>
      </c>
      <c r="AA123" t="s">
        <v>498</v>
      </c>
    </row>
    <row r="124" spans="1:27" x14ac:dyDescent="0.25">
      <c r="A124" t="s">
        <v>162</v>
      </c>
      <c r="B124" s="1">
        <v>45811</v>
      </c>
      <c r="C124" s="2">
        <v>0.3347222222222222</v>
      </c>
      <c r="D124" t="s">
        <v>31</v>
      </c>
      <c r="E124" t="s">
        <v>32</v>
      </c>
      <c r="F124" t="s">
        <v>45</v>
      </c>
      <c r="G124" t="s">
        <v>157</v>
      </c>
      <c r="H124" t="s">
        <v>29</v>
      </c>
      <c r="I124" t="s">
        <v>29</v>
      </c>
      <c r="J124">
        <v>10</v>
      </c>
      <c r="K124">
        <v>26</v>
      </c>
      <c r="L124">
        <v>1</v>
      </c>
      <c r="M124">
        <v>62</v>
      </c>
      <c r="N124">
        <v>116</v>
      </c>
      <c r="O124">
        <v>0</v>
      </c>
      <c r="P124">
        <v>12722</v>
      </c>
      <c r="Q124">
        <v>1.1599999999999999</v>
      </c>
      <c r="R124">
        <v>14776</v>
      </c>
      <c r="S124">
        <v>379</v>
      </c>
      <c r="T124">
        <v>69</v>
      </c>
      <c r="U124">
        <v>89</v>
      </c>
      <c r="V124">
        <v>46</v>
      </c>
      <c r="W124">
        <v>0</v>
      </c>
      <c r="X124">
        <v>19</v>
      </c>
      <c r="Y124" t="s">
        <v>501</v>
      </c>
      <c r="Z124">
        <v>583</v>
      </c>
      <c r="AA124" t="s">
        <v>498</v>
      </c>
    </row>
    <row r="125" spans="1:27" x14ac:dyDescent="0.25">
      <c r="A125" t="s">
        <v>163</v>
      </c>
      <c r="B125" s="1">
        <v>45811</v>
      </c>
      <c r="C125" s="2">
        <v>0.59513888888888888</v>
      </c>
      <c r="D125" t="s">
        <v>25</v>
      </c>
      <c r="E125" t="s">
        <v>39</v>
      </c>
      <c r="F125" t="s">
        <v>42</v>
      </c>
      <c r="G125" t="s">
        <v>157</v>
      </c>
      <c r="H125" t="s">
        <v>29</v>
      </c>
      <c r="I125" t="s">
        <v>36</v>
      </c>
      <c r="J125">
        <v>1</v>
      </c>
      <c r="K125">
        <v>0</v>
      </c>
      <c r="L125">
        <v>1</v>
      </c>
      <c r="M125">
        <v>249</v>
      </c>
      <c r="N125">
        <v>66</v>
      </c>
      <c r="O125">
        <v>0</v>
      </c>
      <c r="P125">
        <v>9363</v>
      </c>
      <c r="Q125">
        <v>1</v>
      </c>
      <c r="R125">
        <v>9363</v>
      </c>
      <c r="S125">
        <v>238</v>
      </c>
      <c r="T125">
        <v>97</v>
      </c>
      <c r="U125">
        <v>112</v>
      </c>
      <c r="V125">
        <v>0</v>
      </c>
      <c r="W125">
        <v>180</v>
      </c>
      <c r="X125">
        <v>2</v>
      </c>
      <c r="Y125" t="s">
        <v>497</v>
      </c>
      <c r="Z125">
        <v>627</v>
      </c>
      <c r="AA125" t="s">
        <v>498</v>
      </c>
    </row>
    <row r="126" spans="1:27" x14ac:dyDescent="0.25">
      <c r="A126" t="s">
        <v>164</v>
      </c>
      <c r="B126" s="1">
        <v>45811</v>
      </c>
      <c r="C126" s="2">
        <v>0.63263888888888886</v>
      </c>
      <c r="D126" t="s">
        <v>38</v>
      </c>
      <c r="E126" t="s">
        <v>48</v>
      </c>
      <c r="F126" t="s">
        <v>42</v>
      </c>
      <c r="G126" t="s">
        <v>157</v>
      </c>
      <c r="H126" t="s">
        <v>29</v>
      </c>
      <c r="I126" t="s">
        <v>29</v>
      </c>
      <c r="J126">
        <v>5</v>
      </c>
      <c r="K126">
        <v>0</v>
      </c>
      <c r="L126">
        <v>1</v>
      </c>
      <c r="M126">
        <v>207</v>
      </c>
      <c r="N126">
        <v>63</v>
      </c>
      <c r="O126">
        <v>0</v>
      </c>
      <c r="P126">
        <v>9860</v>
      </c>
      <c r="Q126">
        <v>1.1299999999999999</v>
      </c>
      <c r="R126">
        <v>11128</v>
      </c>
      <c r="S126">
        <v>138</v>
      </c>
      <c r="T126">
        <v>40</v>
      </c>
      <c r="U126">
        <v>52</v>
      </c>
      <c r="V126">
        <v>12</v>
      </c>
      <c r="W126">
        <v>0</v>
      </c>
      <c r="X126">
        <v>0</v>
      </c>
      <c r="Y126" t="s">
        <v>497</v>
      </c>
      <c r="Z126">
        <v>242</v>
      </c>
      <c r="AA126" t="s">
        <v>498</v>
      </c>
    </row>
    <row r="127" spans="1:27" x14ac:dyDescent="0.25">
      <c r="A127" t="s">
        <v>165</v>
      </c>
      <c r="B127" s="1">
        <v>45811</v>
      </c>
      <c r="C127" s="2">
        <v>0.875</v>
      </c>
      <c r="D127" t="s">
        <v>35</v>
      </c>
      <c r="E127" t="s">
        <v>32</v>
      </c>
      <c r="F127" t="s">
        <v>45</v>
      </c>
      <c r="G127" t="s">
        <v>157</v>
      </c>
      <c r="H127" t="s">
        <v>29</v>
      </c>
      <c r="I127" t="s">
        <v>36</v>
      </c>
      <c r="J127">
        <v>15</v>
      </c>
      <c r="K127">
        <v>18</v>
      </c>
      <c r="L127">
        <v>1</v>
      </c>
      <c r="M127">
        <v>73</v>
      </c>
      <c r="N127">
        <v>171</v>
      </c>
      <c r="O127">
        <v>0</v>
      </c>
      <c r="P127">
        <v>15686</v>
      </c>
      <c r="Q127">
        <v>1.28</v>
      </c>
      <c r="R127">
        <v>20075</v>
      </c>
      <c r="S127">
        <v>552</v>
      </c>
      <c r="T127">
        <v>103</v>
      </c>
      <c r="U127">
        <v>129</v>
      </c>
      <c r="V127">
        <v>82</v>
      </c>
      <c r="W127">
        <v>530</v>
      </c>
      <c r="X127">
        <v>10</v>
      </c>
      <c r="Y127" t="s">
        <v>501</v>
      </c>
      <c r="Z127">
        <v>1396</v>
      </c>
      <c r="AA127" t="s">
        <v>498</v>
      </c>
    </row>
    <row r="128" spans="1:27" x14ac:dyDescent="0.25">
      <c r="A128" t="s">
        <v>166</v>
      </c>
      <c r="B128" s="1">
        <v>45811</v>
      </c>
      <c r="C128" s="2">
        <v>0.93055555555555558</v>
      </c>
      <c r="D128" t="s">
        <v>35</v>
      </c>
      <c r="E128" t="s">
        <v>48</v>
      </c>
      <c r="F128" t="s">
        <v>45</v>
      </c>
      <c r="G128" t="s">
        <v>157</v>
      </c>
      <c r="H128" t="s">
        <v>29</v>
      </c>
      <c r="I128" t="s">
        <v>29</v>
      </c>
      <c r="J128">
        <v>4</v>
      </c>
      <c r="K128">
        <v>114</v>
      </c>
      <c r="L128">
        <v>1</v>
      </c>
      <c r="M128">
        <v>127</v>
      </c>
      <c r="N128">
        <v>108</v>
      </c>
      <c r="O128">
        <v>0</v>
      </c>
      <c r="P128">
        <v>4066</v>
      </c>
      <c r="Q128">
        <v>1.02</v>
      </c>
      <c r="R128">
        <v>4147</v>
      </c>
      <c r="S128">
        <v>73</v>
      </c>
      <c r="T128">
        <v>20</v>
      </c>
      <c r="U128">
        <v>25</v>
      </c>
      <c r="V128">
        <v>5</v>
      </c>
      <c r="W128">
        <v>0</v>
      </c>
      <c r="X128">
        <v>8</v>
      </c>
      <c r="Y128" t="s">
        <v>497</v>
      </c>
      <c r="Z128">
        <v>123</v>
      </c>
      <c r="AA128" t="s">
        <v>498</v>
      </c>
    </row>
    <row r="129" spans="1:27" x14ac:dyDescent="0.25">
      <c r="A129" t="s">
        <v>167</v>
      </c>
      <c r="B129" s="1">
        <v>45812</v>
      </c>
      <c r="C129" s="2">
        <v>0.4909722222222222</v>
      </c>
      <c r="D129" t="s">
        <v>25</v>
      </c>
      <c r="E129" t="s">
        <v>48</v>
      </c>
      <c r="F129" t="s">
        <v>45</v>
      </c>
      <c r="G129" t="s">
        <v>157</v>
      </c>
      <c r="H129" t="s">
        <v>29</v>
      </c>
      <c r="I129" t="s">
        <v>29</v>
      </c>
      <c r="J129">
        <v>2</v>
      </c>
      <c r="K129">
        <v>31</v>
      </c>
      <c r="L129">
        <v>1</v>
      </c>
      <c r="M129">
        <v>151</v>
      </c>
      <c r="N129">
        <v>96</v>
      </c>
      <c r="O129">
        <v>0</v>
      </c>
      <c r="P129">
        <v>11209</v>
      </c>
      <c r="Q129">
        <v>1.1200000000000001</v>
      </c>
      <c r="R129">
        <v>12532</v>
      </c>
      <c r="S129">
        <v>299</v>
      </c>
      <c r="T129">
        <v>73</v>
      </c>
      <c r="U129">
        <v>105</v>
      </c>
      <c r="V129">
        <v>27</v>
      </c>
      <c r="W129">
        <v>0</v>
      </c>
      <c r="X129">
        <v>11</v>
      </c>
      <c r="Y129" t="s">
        <v>497</v>
      </c>
      <c r="Z129">
        <v>504</v>
      </c>
      <c r="AA129" t="s">
        <v>498</v>
      </c>
    </row>
    <row r="130" spans="1:27" x14ac:dyDescent="0.25">
      <c r="A130" t="s">
        <v>168</v>
      </c>
      <c r="B130" s="1">
        <v>45814</v>
      </c>
      <c r="C130" s="2">
        <v>0.40486111111111112</v>
      </c>
      <c r="D130" t="s">
        <v>31</v>
      </c>
      <c r="E130" t="s">
        <v>39</v>
      </c>
      <c r="F130" t="s">
        <v>45</v>
      </c>
      <c r="G130" t="s">
        <v>157</v>
      </c>
      <c r="H130" t="s">
        <v>36</v>
      </c>
      <c r="I130" t="s">
        <v>29</v>
      </c>
      <c r="J130">
        <v>2</v>
      </c>
      <c r="K130">
        <v>152</v>
      </c>
      <c r="L130">
        <v>1</v>
      </c>
      <c r="M130">
        <v>103</v>
      </c>
      <c r="N130">
        <v>207</v>
      </c>
      <c r="O130">
        <v>443</v>
      </c>
      <c r="P130">
        <v>31287</v>
      </c>
      <c r="Q130">
        <v>1.38</v>
      </c>
      <c r="R130">
        <v>43330</v>
      </c>
      <c r="S130">
        <v>265</v>
      </c>
      <c r="T130">
        <v>98</v>
      </c>
      <c r="U130">
        <v>123</v>
      </c>
      <c r="V130">
        <v>0</v>
      </c>
      <c r="W130">
        <v>0</v>
      </c>
      <c r="X130">
        <v>23</v>
      </c>
      <c r="Y130" t="s">
        <v>497</v>
      </c>
      <c r="Z130">
        <v>486</v>
      </c>
      <c r="AA130" t="s">
        <v>498</v>
      </c>
    </row>
    <row r="131" spans="1:27" x14ac:dyDescent="0.25">
      <c r="A131" t="s">
        <v>169</v>
      </c>
      <c r="B131" s="1">
        <v>45814</v>
      </c>
      <c r="C131" s="2">
        <v>0.52986111111111112</v>
      </c>
      <c r="D131" t="s">
        <v>25</v>
      </c>
      <c r="E131" t="s">
        <v>26</v>
      </c>
      <c r="F131" t="s">
        <v>33</v>
      </c>
      <c r="G131" t="s">
        <v>157</v>
      </c>
      <c r="H131" t="s">
        <v>29</v>
      </c>
      <c r="I131" t="s">
        <v>29</v>
      </c>
      <c r="J131">
        <v>7</v>
      </c>
      <c r="K131">
        <v>0</v>
      </c>
      <c r="L131">
        <v>7</v>
      </c>
      <c r="M131">
        <v>143</v>
      </c>
      <c r="N131">
        <v>132</v>
      </c>
      <c r="O131">
        <v>0</v>
      </c>
      <c r="P131">
        <v>40452</v>
      </c>
      <c r="Q131">
        <v>1</v>
      </c>
      <c r="R131">
        <v>40452</v>
      </c>
      <c r="S131">
        <v>2344</v>
      </c>
      <c r="T131">
        <v>341</v>
      </c>
      <c r="U131">
        <v>585</v>
      </c>
      <c r="V131">
        <v>71</v>
      </c>
      <c r="W131">
        <v>0</v>
      </c>
      <c r="X131">
        <v>95</v>
      </c>
      <c r="Y131" t="s">
        <v>497</v>
      </c>
      <c r="Z131">
        <v>3341</v>
      </c>
      <c r="AA131" t="s">
        <v>498</v>
      </c>
    </row>
    <row r="132" spans="1:27" x14ac:dyDescent="0.25">
      <c r="A132" t="s">
        <v>170</v>
      </c>
      <c r="B132" s="1">
        <v>45817</v>
      </c>
      <c r="C132" s="2">
        <v>0.44236111111111109</v>
      </c>
      <c r="D132" t="s">
        <v>31</v>
      </c>
      <c r="E132" t="s">
        <v>32</v>
      </c>
      <c r="F132" t="s">
        <v>45</v>
      </c>
      <c r="G132" t="s">
        <v>157</v>
      </c>
      <c r="H132" t="s">
        <v>36</v>
      </c>
      <c r="I132" t="s">
        <v>36</v>
      </c>
      <c r="J132">
        <v>15</v>
      </c>
      <c r="K132">
        <v>16</v>
      </c>
      <c r="L132">
        <v>1</v>
      </c>
      <c r="M132">
        <v>74</v>
      </c>
      <c r="N132">
        <v>140</v>
      </c>
      <c r="O132">
        <v>516</v>
      </c>
      <c r="P132">
        <v>26132</v>
      </c>
      <c r="Q132">
        <v>1.47</v>
      </c>
      <c r="R132">
        <v>38423</v>
      </c>
      <c r="S132">
        <v>1008</v>
      </c>
      <c r="T132">
        <v>168</v>
      </c>
      <c r="U132">
        <v>264</v>
      </c>
      <c r="V132">
        <v>144</v>
      </c>
      <c r="W132">
        <v>1219</v>
      </c>
      <c r="X132">
        <v>10</v>
      </c>
      <c r="Y132" t="s">
        <v>501</v>
      </c>
      <c r="Z132">
        <v>2803</v>
      </c>
      <c r="AA132" t="s">
        <v>498</v>
      </c>
    </row>
    <row r="133" spans="1:27" x14ac:dyDescent="0.25">
      <c r="A133" t="s">
        <v>171</v>
      </c>
      <c r="B133" s="1">
        <v>45818</v>
      </c>
      <c r="C133" s="2">
        <v>0.29583333333333334</v>
      </c>
      <c r="D133" t="s">
        <v>31</v>
      </c>
      <c r="E133" t="s">
        <v>39</v>
      </c>
      <c r="F133" t="s">
        <v>27</v>
      </c>
      <c r="G133" t="s">
        <v>157</v>
      </c>
      <c r="H133" t="s">
        <v>29</v>
      </c>
      <c r="I133" t="s">
        <v>29</v>
      </c>
      <c r="J133">
        <v>1</v>
      </c>
      <c r="K133">
        <v>0</v>
      </c>
      <c r="L133">
        <v>1</v>
      </c>
      <c r="M133">
        <v>168</v>
      </c>
      <c r="N133">
        <v>212</v>
      </c>
      <c r="O133">
        <v>0</v>
      </c>
      <c r="P133">
        <v>7109</v>
      </c>
      <c r="Q133">
        <v>1</v>
      </c>
      <c r="R133">
        <v>7109</v>
      </c>
      <c r="S133">
        <v>160</v>
      </c>
      <c r="T133">
        <v>48</v>
      </c>
      <c r="U133">
        <v>69</v>
      </c>
      <c r="V133">
        <v>0</v>
      </c>
      <c r="W133">
        <v>0</v>
      </c>
      <c r="X133">
        <v>9</v>
      </c>
      <c r="Y133" t="s">
        <v>497</v>
      </c>
      <c r="Z133">
        <v>277</v>
      </c>
      <c r="AA133" t="s">
        <v>498</v>
      </c>
    </row>
    <row r="134" spans="1:27" x14ac:dyDescent="0.25">
      <c r="A134" t="s">
        <v>172</v>
      </c>
      <c r="B134" s="1">
        <v>45818</v>
      </c>
      <c r="C134" s="2">
        <v>0.77222222222222225</v>
      </c>
      <c r="D134" t="s">
        <v>38</v>
      </c>
      <c r="E134" t="s">
        <v>32</v>
      </c>
      <c r="F134" t="s">
        <v>45</v>
      </c>
      <c r="G134" t="s">
        <v>157</v>
      </c>
      <c r="H134" t="s">
        <v>29</v>
      </c>
      <c r="I134" t="s">
        <v>29</v>
      </c>
      <c r="J134">
        <v>13</v>
      </c>
      <c r="K134">
        <v>73</v>
      </c>
      <c r="L134">
        <v>1</v>
      </c>
      <c r="M134">
        <v>88</v>
      </c>
      <c r="N134">
        <v>167</v>
      </c>
      <c r="O134">
        <v>0</v>
      </c>
      <c r="P134">
        <v>13238</v>
      </c>
      <c r="Q134">
        <v>1.21</v>
      </c>
      <c r="R134">
        <v>16021</v>
      </c>
      <c r="S134">
        <v>747</v>
      </c>
      <c r="T134">
        <v>169</v>
      </c>
      <c r="U134">
        <v>198</v>
      </c>
      <c r="V134">
        <v>92</v>
      </c>
      <c r="W134">
        <v>0</v>
      </c>
      <c r="X134">
        <v>9</v>
      </c>
      <c r="Y134" t="s">
        <v>501</v>
      </c>
      <c r="Z134">
        <v>1206</v>
      </c>
      <c r="AA134" t="s">
        <v>498</v>
      </c>
    </row>
    <row r="135" spans="1:27" x14ac:dyDescent="0.25">
      <c r="A135" t="s">
        <v>173</v>
      </c>
      <c r="B135" s="1">
        <v>45819</v>
      </c>
      <c r="C135" s="2">
        <v>0.7</v>
      </c>
      <c r="D135" t="s">
        <v>38</v>
      </c>
      <c r="E135" t="s">
        <v>39</v>
      </c>
      <c r="F135" t="s">
        <v>45</v>
      </c>
      <c r="G135" t="s">
        <v>157</v>
      </c>
      <c r="H135" t="s">
        <v>29</v>
      </c>
      <c r="I135" t="s">
        <v>36</v>
      </c>
      <c r="J135">
        <v>2</v>
      </c>
      <c r="K135">
        <v>103</v>
      </c>
      <c r="L135">
        <v>1</v>
      </c>
      <c r="M135">
        <v>53</v>
      </c>
      <c r="N135">
        <v>242</v>
      </c>
      <c r="O135">
        <v>0</v>
      </c>
      <c r="P135">
        <v>7041</v>
      </c>
      <c r="Q135">
        <v>1.04</v>
      </c>
      <c r="R135">
        <v>7336</v>
      </c>
      <c r="S135">
        <v>131</v>
      </c>
      <c r="T135">
        <v>41</v>
      </c>
      <c r="U135">
        <v>55</v>
      </c>
      <c r="V135">
        <v>0</v>
      </c>
      <c r="W135">
        <v>187</v>
      </c>
      <c r="X135">
        <v>7</v>
      </c>
      <c r="Y135" t="s">
        <v>501</v>
      </c>
      <c r="Z135">
        <v>414</v>
      </c>
      <c r="AA135" t="s">
        <v>498</v>
      </c>
    </row>
    <row r="136" spans="1:27" x14ac:dyDescent="0.25">
      <c r="A136" t="s">
        <v>174</v>
      </c>
      <c r="B136" s="1">
        <v>45819</v>
      </c>
      <c r="C136" s="2">
        <v>0.77083333333333337</v>
      </c>
      <c r="D136" t="s">
        <v>38</v>
      </c>
      <c r="E136" t="s">
        <v>32</v>
      </c>
      <c r="F136" t="s">
        <v>33</v>
      </c>
      <c r="G136" t="s">
        <v>157</v>
      </c>
      <c r="H136" t="s">
        <v>36</v>
      </c>
      <c r="I136" t="s">
        <v>29</v>
      </c>
      <c r="J136">
        <v>10</v>
      </c>
      <c r="K136">
        <v>0</v>
      </c>
      <c r="L136">
        <v>5</v>
      </c>
      <c r="M136">
        <v>211</v>
      </c>
      <c r="N136">
        <v>200</v>
      </c>
      <c r="O136">
        <v>294</v>
      </c>
      <c r="P136">
        <v>47997</v>
      </c>
      <c r="Q136">
        <v>1.57</v>
      </c>
      <c r="R136">
        <v>75355</v>
      </c>
      <c r="S136">
        <v>3224</v>
      </c>
      <c r="T136">
        <v>615</v>
      </c>
      <c r="U136">
        <v>816</v>
      </c>
      <c r="V136">
        <v>388</v>
      </c>
      <c r="W136">
        <v>0</v>
      </c>
      <c r="X136">
        <v>68</v>
      </c>
      <c r="Y136" t="s">
        <v>497</v>
      </c>
      <c r="Z136">
        <v>5043</v>
      </c>
      <c r="AA136" t="s">
        <v>498</v>
      </c>
    </row>
    <row r="137" spans="1:27" x14ac:dyDescent="0.25">
      <c r="A137" t="s">
        <v>175</v>
      </c>
      <c r="B137" s="1">
        <v>45821</v>
      </c>
      <c r="C137" s="2">
        <v>0.31736111111111109</v>
      </c>
      <c r="D137" t="s">
        <v>31</v>
      </c>
      <c r="E137" t="s">
        <v>26</v>
      </c>
      <c r="F137" t="s">
        <v>33</v>
      </c>
      <c r="G137" t="s">
        <v>157</v>
      </c>
      <c r="H137" t="s">
        <v>36</v>
      </c>
      <c r="I137" t="s">
        <v>29</v>
      </c>
      <c r="J137">
        <v>6</v>
      </c>
      <c r="K137">
        <v>0</v>
      </c>
      <c r="L137">
        <v>10</v>
      </c>
      <c r="M137">
        <v>179</v>
      </c>
      <c r="N137">
        <v>156</v>
      </c>
      <c r="O137">
        <v>583</v>
      </c>
      <c r="P137">
        <v>56890</v>
      </c>
      <c r="Q137">
        <v>1.42</v>
      </c>
      <c r="R137">
        <v>80670</v>
      </c>
      <c r="S137">
        <v>2793</v>
      </c>
      <c r="T137">
        <v>410</v>
      </c>
      <c r="U137">
        <v>780</v>
      </c>
      <c r="V137">
        <v>77</v>
      </c>
      <c r="W137">
        <v>0</v>
      </c>
      <c r="X137">
        <v>222</v>
      </c>
      <c r="Y137" t="s">
        <v>497</v>
      </c>
      <c r="Z137">
        <v>4060</v>
      </c>
      <c r="AA137" t="s">
        <v>498</v>
      </c>
    </row>
    <row r="138" spans="1:27" x14ac:dyDescent="0.25">
      <c r="A138" t="s">
        <v>176</v>
      </c>
      <c r="B138" s="1">
        <v>45822</v>
      </c>
      <c r="C138" s="2">
        <v>0.73472222222222228</v>
      </c>
      <c r="D138" t="s">
        <v>38</v>
      </c>
      <c r="E138" t="s">
        <v>26</v>
      </c>
      <c r="F138" t="s">
        <v>45</v>
      </c>
      <c r="G138" t="s">
        <v>157</v>
      </c>
      <c r="H138" t="s">
        <v>29</v>
      </c>
      <c r="I138" t="s">
        <v>36</v>
      </c>
      <c r="J138">
        <v>5</v>
      </c>
      <c r="K138">
        <v>47</v>
      </c>
      <c r="L138">
        <v>1</v>
      </c>
      <c r="M138">
        <v>74</v>
      </c>
      <c r="N138">
        <v>213</v>
      </c>
      <c r="O138">
        <v>0</v>
      </c>
      <c r="P138">
        <v>18965</v>
      </c>
      <c r="Q138">
        <v>1.38</v>
      </c>
      <c r="R138">
        <v>26195</v>
      </c>
      <c r="S138">
        <v>2923</v>
      </c>
      <c r="T138">
        <v>442</v>
      </c>
      <c r="U138">
        <v>770</v>
      </c>
      <c r="V138">
        <v>68</v>
      </c>
      <c r="W138">
        <v>798</v>
      </c>
      <c r="X138">
        <v>32</v>
      </c>
      <c r="Y138" t="s">
        <v>501</v>
      </c>
      <c r="Z138">
        <v>5001</v>
      </c>
      <c r="AA138" t="s">
        <v>498</v>
      </c>
    </row>
    <row r="139" spans="1:27" x14ac:dyDescent="0.25">
      <c r="A139" t="s">
        <v>177</v>
      </c>
      <c r="B139" s="1">
        <v>45825</v>
      </c>
      <c r="C139" s="2">
        <v>0.88749999999999996</v>
      </c>
      <c r="D139" t="s">
        <v>35</v>
      </c>
      <c r="E139" t="s">
        <v>26</v>
      </c>
      <c r="F139" t="s">
        <v>45</v>
      </c>
      <c r="G139" t="s">
        <v>157</v>
      </c>
      <c r="H139" t="s">
        <v>29</v>
      </c>
      <c r="I139" t="s">
        <v>36</v>
      </c>
      <c r="J139">
        <v>6</v>
      </c>
      <c r="K139">
        <v>49</v>
      </c>
      <c r="L139">
        <v>1</v>
      </c>
      <c r="M139">
        <v>108</v>
      </c>
      <c r="N139">
        <v>186</v>
      </c>
      <c r="O139">
        <v>0</v>
      </c>
      <c r="P139">
        <v>34188</v>
      </c>
      <c r="Q139">
        <v>1.6</v>
      </c>
      <c r="R139">
        <v>54852</v>
      </c>
      <c r="S139">
        <v>6286</v>
      </c>
      <c r="T139">
        <v>845</v>
      </c>
      <c r="U139">
        <v>2004</v>
      </c>
      <c r="V139">
        <v>219</v>
      </c>
      <c r="W139">
        <v>1433</v>
      </c>
      <c r="X139">
        <v>20</v>
      </c>
      <c r="Y139" t="s">
        <v>497</v>
      </c>
      <c r="Z139">
        <v>10787</v>
      </c>
      <c r="AA139" t="s">
        <v>500</v>
      </c>
    </row>
    <row r="140" spans="1:27" x14ac:dyDescent="0.25">
      <c r="A140" t="s">
        <v>178</v>
      </c>
      <c r="B140" s="1">
        <v>45828</v>
      </c>
      <c r="C140" s="2">
        <v>0.60833333333333328</v>
      </c>
      <c r="D140" t="s">
        <v>25</v>
      </c>
      <c r="E140" t="s">
        <v>32</v>
      </c>
      <c r="F140" t="s">
        <v>33</v>
      </c>
      <c r="G140" t="s">
        <v>157</v>
      </c>
      <c r="H140" t="s">
        <v>36</v>
      </c>
      <c r="I140" t="s">
        <v>36</v>
      </c>
      <c r="J140">
        <v>6</v>
      </c>
      <c r="K140">
        <v>0</v>
      </c>
      <c r="L140">
        <v>7</v>
      </c>
      <c r="M140">
        <v>213</v>
      </c>
      <c r="N140">
        <v>160</v>
      </c>
      <c r="O140">
        <v>396</v>
      </c>
      <c r="P140">
        <v>36934</v>
      </c>
      <c r="Q140">
        <v>1.57</v>
      </c>
      <c r="R140">
        <v>58005</v>
      </c>
      <c r="S140">
        <v>2926</v>
      </c>
      <c r="T140">
        <v>534</v>
      </c>
      <c r="U140">
        <v>654</v>
      </c>
      <c r="V140">
        <v>363</v>
      </c>
      <c r="W140">
        <v>1402</v>
      </c>
      <c r="X140">
        <v>51</v>
      </c>
      <c r="Y140" t="s">
        <v>497</v>
      </c>
      <c r="Z140">
        <v>5879</v>
      </c>
      <c r="AA140" t="s">
        <v>498</v>
      </c>
    </row>
    <row r="141" spans="1:27" x14ac:dyDescent="0.25">
      <c r="A141" t="s">
        <v>179</v>
      </c>
      <c r="B141" s="1">
        <v>45828</v>
      </c>
      <c r="C141" s="2">
        <v>0.74305555555555558</v>
      </c>
      <c r="D141" t="s">
        <v>38</v>
      </c>
      <c r="E141" t="s">
        <v>26</v>
      </c>
      <c r="F141" t="s">
        <v>45</v>
      </c>
      <c r="G141" t="s">
        <v>157</v>
      </c>
      <c r="H141" t="s">
        <v>29</v>
      </c>
      <c r="I141" t="s">
        <v>29</v>
      </c>
      <c r="J141">
        <v>3</v>
      </c>
      <c r="K141">
        <v>53</v>
      </c>
      <c r="L141">
        <v>1</v>
      </c>
      <c r="M141">
        <v>126</v>
      </c>
      <c r="N141">
        <v>131</v>
      </c>
      <c r="O141">
        <v>0</v>
      </c>
      <c r="P141">
        <v>41942</v>
      </c>
      <c r="Q141">
        <v>1.36</v>
      </c>
      <c r="R141">
        <v>57247</v>
      </c>
      <c r="S141">
        <v>5997</v>
      </c>
      <c r="T141">
        <v>810</v>
      </c>
      <c r="U141">
        <v>1820</v>
      </c>
      <c r="V141">
        <v>178</v>
      </c>
      <c r="W141">
        <v>0</v>
      </c>
      <c r="X141">
        <v>63</v>
      </c>
      <c r="Y141" t="s">
        <v>497</v>
      </c>
      <c r="Z141">
        <v>8805</v>
      </c>
      <c r="AA141" t="s">
        <v>498</v>
      </c>
    </row>
    <row r="142" spans="1:27" x14ac:dyDescent="0.25">
      <c r="A142" t="s">
        <v>180</v>
      </c>
      <c r="B142" s="1">
        <v>45828</v>
      </c>
      <c r="C142" s="2">
        <v>0.82291666666666663</v>
      </c>
      <c r="D142" t="s">
        <v>35</v>
      </c>
      <c r="E142" t="s">
        <v>48</v>
      </c>
      <c r="F142" t="s">
        <v>45</v>
      </c>
      <c r="G142" t="s">
        <v>157</v>
      </c>
      <c r="H142" t="s">
        <v>29</v>
      </c>
      <c r="I142" t="s">
        <v>36</v>
      </c>
      <c r="J142">
        <v>6</v>
      </c>
      <c r="K142">
        <v>77</v>
      </c>
      <c r="L142">
        <v>1</v>
      </c>
      <c r="M142">
        <v>78</v>
      </c>
      <c r="N142">
        <v>162</v>
      </c>
      <c r="O142">
        <v>0</v>
      </c>
      <c r="P142">
        <v>6198</v>
      </c>
      <c r="Q142">
        <v>1</v>
      </c>
      <c r="R142">
        <v>6198</v>
      </c>
      <c r="S142">
        <v>133</v>
      </c>
      <c r="T142">
        <v>31</v>
      </c>
      <c r="U142">
        <v>45</v>
      </c>
      <c r="V142">
        <v>9</v>
      </c>
      <c r="W142">
        <v>148</v>
      </c>
      <c r="X142">
        <v>14</v>
      </c>
      <c r="Y142" t="s">
        <v>501</v>
      </c>
      <c r="Z142">
        <v>366</v>
      </c>
      <c r="AA142" t="s">
        <v>498</v>
      </c>
    </row>
    <row r="143" spans="1:27" x14ac:dyDescent="0.25">
      <c r="A143" t="s">
        <v>181</v>
      </c>
      <c r="B143" s="1">
        <v>45830</v>
      </c>
      <c r="C143" s="2">
        <v>0.42986111111111114</v>
      </c>
      <c r="D143" t="s">
        <v>31</v>
      </c>
      <c r="E143" t="s">
        <v>26</v>
      </c>
      <c r="F143" t="s">
        <v>42</v>
      </c>
      <c r="G143" t="s">
        <v>157</v>
      </c>
      <c r="H143" t="s">
        <v>36</v>
      </c>
      <c r="I143" t="s">
        <v>29</v>
      </c>
      <c r="J143">
        <v>6</v>
      </c>
      <c r="K143">
        <v>0</v>
      </c>
      <c r="L143">
        <v>1</v>
      </c>
      <c r="M143">
        <v>368</v>
      </c>
      <c r="N143">
        <v>39</v>
      </c>
      <c r="O143">
        <v>393</v>
      </c>
      <c r="P143">
        <v>113418</v>
      </c>
      <c r="Q143">
        <v>1.46</v>
      </c>
      <c r="R143">
        <v>165332</v>
      </c>
      <c r="S143">
        <v>590</v>
      </c>
      <c r="T143">
        <v>71</v>
      </c>
      <c r="U143">
        <v>138</v>
      </c>
      <c r="V143">
        <v>17</v>
      </c>
      <c r="W143">
        <v>0</v>
      </c>
      <c r="X143">
        <v>44</v>
      </c>
      <c r="Y143" t="s">
        <v>499</v>
      </c>
      <c r="Z143">
        <v>816</v>
      </c>
      <c r="AA143" t="s">
        <v>498</v>
      </c>
    </row>
    <row r="144" spans="1:27" x14ac:dyDescent="0.25">
      <c r="A144" t="s">
        <v>182</v>
      </c>
      <c r="B144" s="1">
        <v>45830</v>
      </c>
      <c r="C144" s="2">
        <v>0.72638888888888886</v>
      </c>
      <c r="D144" t="s">
        <v>38</v>
      </c>
      <c r="E144" t="s">
        <v>39</v>
      </c>
      <c r="F144" t="s">
        <v>27</v>
      </c>
      <c r="G144" t="s">
        <v>157</v>
      </c>
      <c r="H144" t="s">
        <v>36</v>
      </c>
      <c r="I144" t="s">
        <v>36</v>
      </c>
      <c r="J144">
        <v>1</v>
      </c>
      <c r="K144">
        <v>0</v>
      </c>
      <c r="L144">
        <v>1</v>
      </c>
      <c r="M144">
        <v>200</v>
      </c>
      <c r="N144">
        <v>91</v>
      </c>
      <c r="O144">
        <v>438</v>
      </c>
      <c r="P144">
        <v>23418</v>
      </c>
      <c r="Q144">
        <v>1.7</v>
      </c>
      <c r="R144">
        <v>39872</v>
      </c>
      <c r="S144">
        <v>774</v>
      </c>
      <c r="T144">
        <v>261</v>
      </c>
      <c r="U144">
        <v>362</v>
      </c>
      <c r="V144">
        <v>0</v>
      </c>
      <c r="W144">
        <v>740</v>
      </c>
      <c r="X144">
        <v>11</v>
      </c>
      <c r="Y144" t="s">
        <v>497</v>
      </c>
      <c r="Z144">
        <v>2137</v>
      </c>
      <c r="AA144" t="s">
        <v>498</v>
      </c>
    </row>
    <row r="145" spans="1:27" x14ac:dyDescent="0.25">
      <c r="A145" t="s">
        <v>183</v>
      </c>
      <c r="B145" s="1">
        <v>45831</v>
      </c>
      <c r="C145" s="2">
        <v>0.33194444444444443</v>
      </c>
      <c r="D145" t="s">
        <v>31</v>
      </c>
      <c r="E145" t="s">
        <v>48</v>
      </c>
      <c r="F145" t="s">
        <v>27</v>
      </c>
      <c r="G145" t="s">
        <v>157</v>
      </c>
      <c r="H145" t="s">
        <v>29</v>
      </c>
      <c r="I145" t="s">
        <v>29</v>
      </c>
      <c r="J145">
        <v>6</v>
      </c>
      <c r="K145">
        <v>0</v>
      </c>
      <c r="L145">
        <v>1</v>
      </c>
      <c r="M145">
        <v>232</v>
      </c>
      <c r="N145">
        <v>177</v>
      </c>
      <c r="O145">
        <v>0</v>
      </c>
      <c r="P145">
        <v>10709</v>
      </c>
      <c r="Q145">
        <v>1.01</v>
      </c>
      <c r="R145">
        <v>10813</v>
      </c>
      <c r="S145">
        <v>140</v>
      </c>
      <c r="T145">
        <v>36</v>
      </c>
      <c r="U145">
        <v>45</v>
      </c>
      <c r="V145">
        <v>12</v>
      </c>
      <c r="W145">
        <v>0</v>
      </c>
      <c r="X145">
        <v>6</v>
      </c>
      <c r="Y145" t="s">
        <v>497</v>
      </c>
      <c r="Z145">
        <v>233</v>
      </c>
      <c r="AA145" t="s">
        <v>498</v>
      </c>
    </row>
    <row r="146" spans="1:27" x14ac:dyDescent="0.25">
      <c r="A146" t="s">
        <v>184</v>
      </c>
      <c r="B146" s="1">
        <v>45832</v>
      </c>
      <c r="C146" s="2">
        <v>0.47499999999999998</v>
      </c>
      <c r="D146" t="s">
        <v>25</v>
      </c>
      <c r="E146" t="s">
        <v>48</v>
      </c>
      <c r="F146" t="s">
        <v>45</v>
      </c>
      <c r="G146" t="s">
        <v>157</v>
      </c>
      <c r="H146" t="s">
        <v>29</v>
      </c>
      <c r="I146" t="s">
        <v>29</v>
      </c>
      <c r="J146">
        <v>2</v>
      </c>
      <c r="K146">
        <v>74</v>
      </c>
      <c r="L146">
        <v>1</v>
      </c>
      <c r="M146">
        <v>184</v>
      </c>
      <c r="N146">
        <v>232</v>
      </c>
      <c r="O146">
        <v>0</v>
      </c>
      <c r="P146">
        <v>6497</v>
      </c>
      <c r="Q146">
        <v>1.06</v>
      </c>
      <c r="R146">
        <v>6879</v>
      </c>
      <c r="S146">
        <v>84</v>
      </c>
      <c r="T146">
        <v>21</v>
      </c>
      <c r="U146">
        <v>31</v>
      </c>
      <c r="V146">
        <v>7</v>
      </c>
      <c r="W146">
        <v>0</v>
      </c>
      <c r="X146">
        <v>7</v>
      </c>
      <c r="Y146" t="s">
        <v>497</v>
      </c>
      <c r="Z146">
        <v>143</v>
      </c>
      <c r="AA146" t="s">
        <v>498</v>
      </c>
    </row>
    <row r="147" spans="1:27" x14ac:dyDescent="0.25">
      <c r="A147" t="s">
        <v>185</v>
      </c>
      <c r="B147" s="1">
        <v>45832</v>
      </c>
      <c r="C147" s="2">
        <v>0.48402777777777778</v>
      </c>
      <c r="D147" t="s">
        <v>25</v>
      </c>
      <c r="E147" t="s">
        <v>39</v>
      </c>
      <c r="F147" t="s">
        <v>42</v>
      </c>
      <c r="G147" t="s">
        <v>157</v>
      </c>
      <c r="H147" t="s">
        <v>36</v>
      </c>
      <c r="I147" t="s">
        <v>29</v>
      </c>
      <c r="J147">
        <v>2</v>
      </c>
      <c r="K147">
        <v>0</v>
      </c>
      <c r="L147">
        <v>1</v>
      </c>
      <c r="M147">
        <v>480</v>
      </c>
      <c r="N147">
        <v>112</v>
      </c>
      <c r="O147">
        <v>314</v>
      </c>
      <c r="P147">
        <v>32852</v>
      </c>
      <c r="Q147">
        <v>1.62</v>
      </c>
      <c r="R147">
        <v>53290</v>
      </c>
      <c r="S147">
        <v>1010</v>
      </c>
      <c r="T147">
        <v>450</v>
      </c>
      <c r="U147">
        <v>429</v>
      </c>
      <c r="V147">
        <v>0</v>
      </c>
      <c r="W147">
        <v>0</v>
      </c>
      <c r="X147">
        <v>39</v>
      </c>
      <c r="Y147" t="s">
        <v>499</v>
      </c>
      <c r="Z147">
        <v>1889</v>
      </c>
      <c r="AA147" t="s">
        <v>498</v>
      </c>
    </row>
    <row r="148" spans="1:27" x14ac:dyDescent="0.25">
      <c r="A148" t="s">
        <v>186</v>
      </c>
      <c r="B148" s="1">
        <v>45832</v>
      </c>
      <c r="C148" s="2">
        <v>0.7368055555555556</v>
      </c>
      <c r="D148" t="s">
        <v>38</v>
      </c>
      <c r="E148" t="s">
        <v>26</v>
      </c>
      <c r="F148" t="s">
        <v>45</v>
      </c>
      <c r="G148" t="s">
        <v>157</v>
      </c>
      <c r="H148" t="s">
        <v>29</v>
      </c>
      <c r="I148" t="s">
        <v>29</v>
      </c>
      <c r="J148">
        <v>3</v>
      </c>
      <c r="K148">
        <v>45</v>
      </c>
      <c r="L148">
        <v>1</v>
      </c>
      <c r="M148">
        <v>83</v>
      </c>
      <c r="N148">
        <v>187</v>
      </c>
      <c r="O148">
        <v>0</v>
      </c>
      <c r="P148">
        <v>69853</v>
      </c>
      <c r="Q148">
        <v>1.25</v>
      </c>
      <c r="R148">
        <v>86981</v>
      </c>
      <c r="S148">
        <v>8457</v>
      </c>
      <c r="T148">
        <v>1072</v>
      </c>
      <c r="U148">
        <v>2336</v>
      </c>
      <c r="V148">
        <v>237</v>
      </c>
      <c r="W148">
        <v>0</v>
      </c>
      <c r="X148">
        <v>124</v>
      </c>
      <c r="Y148" t="s">
        <v>501</v>
      </c>
      <c r="Z148">
        <v>12102</v>
      </c>
      <c r="AA148" t="s">
        <v>500</v>
      </c>
    </row>
    <row r="149" spans="1:27" x14ac:dyDescent="0.25">
      <c r="A149" t="s">
        <v>187</v>
      </c>
      <c r="B149" s="1">
        <v>45833</v>
      </c>
      <c r="C149" s="2">
        <v>0.65277777777777779</v>
      </c>
      <c r="D149" t="s">
        <v>38</v>
      </c>
      <c r="E149" t="s">
        <v>39</v>
      </c>
      <c r="F149" t="s">
        <v>27</v>
      </c>
      <c r="G149" t="s">
        <v>157</v>
      </c>
      <c r="H149" t="s">
        <v>29</v>
      </c>
      <c r="I149" t="s">
        <v>36</v>
      </c>
      <c r="J149">
        <v>2</v>
      </c>
      <c r="K149">
        <v>0</v>
      </c>
      <c r="L149">
        <v>1</v>
      </c>
      <c r="M149">
        <v>163</v>
      </c>
      <c r="N149">
        <v>103</v>
      </c>
      <c r="O149">
        <v>0</v>
      </c>
      <c r="P149">
        <v>11510</v>
      </c>
      <c r="Q149">
        <v>1.1499999999999999</v>
      </c>
      <c r="R149">
        <v>13204</v>
      </c>
      <c r="S149">
        <v>336</v>
      </c>
      <c r="T149">
        <v>126</v>
      </c>
      <c r="U149">
        <v>149</v>
      </c>
      <c r="V149">
        <v>0</v>
      </c>
      <c r="W149">
        <v>276</v>
      </c>
      <c r="X149">
        <v>8</v>
      </c>
      <c r="Y149" t="s">
        <v>497</v>
      </c>
      <c r="Z149">
        <v>887</v>
      </c>
      <c r="AA149" t="s">
        <v>498</v>
      </c>
    </row>
    <row r="150" spans="1:27" x14ac:dyDescent="0.25">
      <c r="A150" t="s">
        <v>188</v>
      </c>
      <c r="B150" s="1">
        <v>45834</v>
      </c>
      <c r="C150" s="2">
        <v>0.60624999999999996</v>
      </c>
      <c r="D150" t="s">
        <v>25</v>
      </c>
      <c r="E150" t="s">
        <v>26</v>
      </c>
      <c r="F150" t="s">
        <v>27</v>
      </c>
      <c r="G150" t="s">
        <v>157</v>
      </c>
      <c r="H150" t="s">
        <v>29</v>
      </c>
      <c r="I150" t="s">
        <v>29</v>
      </c>
      <c r="J150">
        <v>4</v>
      </c>
      <c r="K150">
        <v>0</v>
      </c>
      <c r="L150">
        <v>1</v>
      </c>
      <c r="M150">
        <v>172</v>
      </c>
      <c r="N150">
        <v>70</v>
      </c>
      <c r="O150">
        <v>0</v>
      </c>
      <c r="P150">
        <v>17595</v>
      </c>
      <c r="Q150">
        <v>1.4</v>
      </c>
      <c r="R150">
        <v>24636</v>
      </c>
      <c r="S150">
        <v>1594</v>
      </c>
      <c r="T150">
        <v>232</v>
      </c>
      <c r="U150">
        <v>375</v>
      </c>
      <c r="V150">
        <v>41</v>
      </c>
      <c r="W150">
        <v>0</v>
      </c>
      <c r="X150">
        <v>2</v>
      </c>
      <c r="Y150" t="s">
        <v>497</v>
      </c>
      <c r="Z150">
        <v>2242</v>
      </c>
      <c r="AA150" t="s">
        <v>498</v>
      </c>
    </row>
    <row r="151" spans="1:27" x14ac:dyDescent="0.25">
      <c r="A151" t="s">
        <v>189</v>
      </c>
      <c r="B151" s="1">
        <v>45835</v>
      </c>
      <c r="C151" s="2">
        <v>0.94722222222222219</v>
      </c>
      <c r="D151" t="s">
        <v>35</v>
      </c>
      <c r="E151" t="s">
        <v>48</v>
      </c>
      <c r="F151" t="s">
        <v>27</v>
      </c>
      <c r="G151" t="s">
        <v>157</v>
      </c>
      <c r="H151" t="s">
        <v>29</v>
      </c>
      <c r="I151" t="s">
        <v>29</v>
      </c>
      <c r="J151">
        <v>6</v>
      </c>
      <c r="K151">
        <v>0</v>
      </c>
      <c r="L151">
        <v>1</v>
      </c>
      <c r="M151">
        <v>114</v>
      </c>
      <c r="N151">
        <v>165</v>
      </c>
      <c r="O151">
        <v>0</v>
      </c>
      <c r="P151">
        <v>11006</v>
      </c>
      <c r="Q151">
        <v>1.1599999999999999</v>
      </c>
      <c r="R151">
        <v>12719</v>
      </c>
      <c r="S151">
        <v>143</v>
      </c>
      <c r="T151">
        <v>41</v>
      </c>
      <c r="U151">
        <v>44</v>
      </c>
      <c r="V151">
        <v>11</v>
      </c>
      <c r="W151">
        <v>0</v>
      </c>
      <c r="X151">
        <v>12</v>
      </c>
      <c r="Y151" t="s">
        <v>497</v>
      </c>
      <c r="Z151">
        <v>239</v>
      </c>
      <c r="AA151" t="s">
        <v>498</v>
      </c>
    </row>
    <row r="152" spans="1:27" x14ac:dyDescent="0.25">
      <c r="A152" t="s">
        <v>190</v>
      </c>
      <c r="B152" s="1">
        <v>45836</v>
      </c>
      <c r="C152" s="2">
        <v>0.79652777777777772</v>
      </c>
      <c r="D152" t="s">
        <v>35</v>
      </c>
      <c r="E152" t="s">
        <v>32</v>
      </c>
      <c r="F152" t="s">
        <v>33</v>
      </c>
      <c r="G152" t="s">
        <v>157</v>
      </c>
      <c r="H152" t="s">
        <v>36</v>
      </c>
      <c r="I152" t="s">
        <v>29</v>
      </c>
      <c r="J152">
        <v>14</v>
      </c>
      <c r="K152">
        <v>0</v>
      </c>
      <c r="L152">
        <v>9</v>
      </c>
      <c r="M152">
        <v>205</v>
      </c>
      <c r="N152">
        <v>89</v>
      </c>
      <c r="O152">
        <v>699</v>
      </c>
      <c r="P152">
        <v>160132</v>
      </c>
      <c r="Q152">
        <v>1.69</v>
      </c>
      <c r="R152">
        <v>270570</v>
      </c>
      <c r="S152">
        <v>14216</v>
      </c>
      <c r="T152">
        <v>2983</v>
      </c>
      <c r="U152">
        <v>3232</v>
      </c>
      <c r="V152">
        <v>1833</v>
      </c>
      <c r="W152">
        <v>0</v>
      </c>
      <c r="X152">
        <v>100</v>
      </c>
      <c r="Y152" t="s">
        <v>497</v>
      </c>
      <c r="Z152">
        <v>22264</v>
      </c>
      <c r="AA152" t="s">
        <v>500</v>
      </c>
    </row>
    <row r="153" spans="1:27" x14ac:dyDescent="0.25">
      <c r="A153" t="s">
        <v>191</v>
      </c>
      <c r="B153" s="1">
        <v>45839</v>
      </c>
      <c r="C153" s="2">
        <v>0.75277777777777777</v>
      </c>
      <c r="D153" t="s">
        <v>38</v>
      </c>
      <c r="E153" t="s">
        <v>32</v>
      </c>
      <c r="F153" t="s">
        <v>42</v>
      </c>
      <c r="G153" t="s">
        <v>157</v>
      </c>
      <c r="H153" t="s">
        <v>29</v>
      </c>
      <c r="I153" t="s">
        <v>36</v>
      </c>
      <c r="J153">
        <v>13</v>
      </c>
      <c r="K153">
        <v>0</v>
      </c>
      <c r="L153">
        <v>1</v>
      </c>
      <c r="M153">
        <v>444</v>
      </c>
      <c r="N153">
        <v>65</v>
      </c>
      <c r="O153">
        <v>0</v>
      </c>
      <c r="P153">
        <v>17041</v>
      </c>
      <c r="Q153">
        <v>1.03</v>
      </c>
      <c r="R153">
        <v>17478</v>
      </c>
      <c r="S153">
        <v>231</v>
      </c>
      <c r="T153">
        <v>45</v>
      </c>
      <c r="U153">
        <v>60</v>
      </c>
      <c r="V153">
        <v>28</v>
      </c>
      <c r="W153">
        <v>288</v>
      </c>
      <c r="X153">
        <v>17</v>
      </c>
      <c r="Y153" t="s">
        <v>499</v>
      </c>
      <c r="Z153">
        <v>652</v>
      </c>
      <c r="AA153" t="s">
        <v>498</v>
      </c>
    </row>
    <row r="154" spans="1:27" x14ac:dyDescent="0.25">
      <c r="A154" t="s">
        <v>192</v>
      </c>
      <c r="B154" s="1">
        <v>45840</v>
      </c>
      <c r="C154" s="2">
        <v>0.91249999999999998</v>
      </c>
      <c r="D154" t="s">
        <v>35</v>
      </c>
      <c r="E154" t="s">
        <v>39</v>
      </c>
      <c r="F154" t="s">
        <v>42</v>
      </c>
      <c r="G154" t="s">
        <v>157</v>
      </c>
      <c r="H154" t="s">
        <v>29</v>
      </c>
      <c r="I154" t="s">
        <v>29</v>
      </c>
      <c r="J154">
        <v>4</v>
      </c>
      <c r="K154">
        <v>0</v>
      </c>
      <c r="L154">
        <v>1</v>
      </c>
      <c r="M154">
        <v>435</v>
      </c>
      <c r="N154">
        <v>57</v>
      </c>
      <c r="O154">
        <v>0</v>
      </c>
      <c r="P154">
        <v>9033</v>
      </c>
      <c r="Q154">
        <v>1.3</v>
      </c>
      <c r="R154">
        <v>11701</v>
      </c>
      <c r="S154">
        <v>150</v>
      </c>
      <c r="T154">
        <v>49</v>
      </c>
      <c r="U154">
        <v>69</v>
      </c>
      <c r="V154">
        <v>0</v>
      </c>
      <c r="W154">
        <v>0</v>
      </c>
      <c r="X154">
        <v>0</v>
      </c>
      <c r="Y154" t="s">
        <v>499</v>
      </c>
      <c r="Z154">
        <v>268</v>
      </c>
      <c r="AA154" t="s">
        <v>498</v>
      </c>
    </row>
    <row r="155" spans="1:27" x14ac:dyDescent="0.25">
      <c r="A155" t="s">
        <v>193</v>
      </c>
      <c r="B155" s="1">
        <v>45841</v>
      </c>
      <c r="C155" s="2">
        <v>0.44236111111111109</v>
      </c>
      <c r="D155" t="s">
        <v>31</v>
      </c>
      <c r="E155" t="s">
        <v>32</v>
      </c>
      <c r="F155" t="s">
        <v>33</v>
      </c>
      <c r="G155" t="s">
        <v>157</v>
      </c>
      <c r="H155" t="s">
        <v>36</v>
      </c>
      <c r="I155" t="s">
        <v>29</v>
      </c>
      <c r="J155">
        <v>5</v>
      </c>
      <c r="K155">
        <v>0</v>
      </c>
      <c r="L155">
        <v>5</v>
      </c>
      <c r="M155">
        <v>166</v>
      </c>
      <c r="N155">
        <v>144</v>
      </c>
      <c r="O155">
        <v>350</v>
      </c>
      <c r="P155">
        <v>35695</v>
      </c>
      <c r="Q155">
        <v>1.59</v>
      </c>
      <c r="R155">
        <v>56787</v>
      </c>
      <c r="S155">
        <v>2863</v>
      </c>
      <c r="T155">
        <v>525</v>
      </c>
      <c r="U155">
        <v>673</v>
      </c>
      <c r="V155">
        <v>371</v>
      </c>
      <c r="W155">
        <v>0</v>
      </c>
      <c r="X155">
        <v>55</v>
      </c>
      <c r="Y155" t="s">
        <v>497</v>
      </c>
      <c r="Z155">
        <v>4432</v>
      </c>
      <c r="AA155" t="s">
        <v>498</v>
      </c>
    </row>
    <row r="156" spans="1:27" x14ac:dyDescent="0.25">
      <c r="A156" t="s">
        <v>194</v>
      </c>
      <c r="B156" s="1">
        <v>45841</v>
      </c>
      <c r="C156" s="2">
        <v>0.57777777777777772</v>
      </c>
      <c r="D156" t="s">
        <v>25</v>
      </c>
      <c r="E156" t="s">
        <v>39</v>
      </c>
      <c r="F156" t="s">
        <v>27</v>
      </c>
      <c r="G156" t="s">
        <v>157</v>
      </c>
      <c r="H156" t="s">
        <v>29</v>
      </c>
      <c r="I156" t="s">
        <v>36</v>
      </c>
      <c r="J156">
        <v>2</v>
      </c>
      <c r="K156">
        <v>0</v>
      </c>
      <c r="L156">
        <v>1</v>
      </c>
      <c r="M156">
        <v>220</v>
      </c>
      <c r="N156">
        <v>94</v>
      </c>
      <c r="O156">
        <v>0</v>
      </c>
      <c r="P156">
        <v>8222</v>
      </c>
      <c r="Q156">
        <v>1</v>
      </c>
      <c r="R156">
        <v>8222</v>
      </c>
      <c r="S156">
        <v>214</v>
      </c>
      <c r="T156">
        <v>73</v>
      </c>
      <c r="U156">
        <v>87</v>
      </c>
      <c r="V156">
        <v>0</v>
      </c>
      <c r="W156">
        <v>183</v>
      </c>
      <c r="X156">
        <v>8</v>
      </c>
      <c r="Y156" t="s">
        <v>497</v>
      </c>
      <c r="Z156">
        <v>557</v>
      </c>
      <c r="AA156" t="s">
        <v>498</v>
      </c>
    </row>
    <row r="157" spans="1:27" x14ac:dyDescent="0.25">
      <c r="A157" t="s">
        <v>195</v>
      </c>
      <c r="B157" s="1">
        <v>45841</v>
      </c>
      <c r="C157" s="2">
        <v>0.68333333333333335</v>
      </c>
      <c r="D157" t="s">
        <v>38</v>
      </c>
      <c r="E157" t="s">
        <v>32</v>
      </c>
      <c r="F157" t="s">
        <v>33</v>
      </c>
      <c r="G157" t="s">
        <v>157</v>
      </c>
      <c r="H157" t="s">
        <v>29</v>
      </c>
      <c r="I157" t="s">
        <v>36</v>
      </c>
      <c r="J157">
        <v>6</v>
      </c>
      <c r="K157">
        <v>0</v>
      </c>
      <c r="L157">
        <v>7</v>
      </c>
      <c r="M157">
        <v>297</v>
      </c>
      <c r="N157">
        <v>224</v>
      </c>
      <c r="O157">
        <v>0</v>
      </c>
      <c r="P157">
        <v>9915</v>
      </c>
      <c r="Q157">
        <v>1.02</v>
      </c>
      <c r="R157">
        <v>10079</v>
      </c>
      <c r="S157">
        <v>376</v>
      </c>
      <c r="T157">
        <v>61</v>
      </c>
      <c r="U157">
        <v>97</v>
      </c>
      <c r="V157">
        <v>53</v>
      </c>
      <c r="W157">
        <v>295</v>
      </c>
      <c r="X157">
        <v>11</v>
      </c>
      <c r="Y157" t="s">
        <v>499</v>
      </c>
      <c r="Z157">
        <v>882</v>
      </c>
      <c r="AA157" t="s">
        <v>498</v>
      </c>
    </row>
    <row r="158" spans="1:27" x14ac:dyDescent="0.25">
      <c r="A158" t="s">
        <v>196</v>
      </c>
      <c r="B158" s="1">
        <v>45841</v>
      </c>
      <c r="C158" s="2">
        <v>0.69652777777777775</v>
      </c>
      <c r="D158" t="s">
        <v>38</v>
      </c>
      <c r="E158" t="s">
        <v>26</v>
      </c>
      <c r="F158" t="s">
        <v>45</v>
      </c>
      <c r="G158" t="s">
        <v>157</v>
      </c>
      <c r="H158" t="s">
        <v>29</v>
      </c>
      <c r="I158" t="s">
        <v>29</v>
      </c>
      <c r="J158">
        <v>3</v>
      </c>
      <c r="K158">
        <v>25</v>
      </c>
      <c r="L158">
        <v>1</v>
      </c>
      <c r="M158">
        <v>161</v>
      </c>
      <c r="N158">
        <v>217</v>
      </c>
      <c r="O158">
        <v>0</v>
      </c>
      <c r="P158">
        <v>14177</v>
      </c>
      <c r="Q158">
        <v>1</v>
      </c>
      <c r="R158">
        <v>14177</v>
      </c>
      <c r="S158">
        <v>1331</v>
      </c>
      <c r="T158">
        <v>192</v>
      </c>
      <c r="U158">
        <v>345</v>
      </c>
      <c r="V158">
        <v>43</v>
      </c>
      <c r="W158">
        <v>0</v>
      </c>
      <c r="X158">
        <v>2</v>
      </c>
      <c r="Y158" t="s">
        <v>497</v>
      </c>
      <c r="Z158">
        <v>1911</v>
      </c>
      <c r="AA158" t="s">
        <v>498</v>
      </c>
    </row>
    <row r="159" spans="1:27" x14ac:dyDescent="0.25">
      <c r="A159" t="s">
        <v>197</v>
      </c>
      <c r="B159" s="1">
        <v>45841</v>
      </c>
      <c r="C159" s="2">
        <v>0.94652777777777775</v>
      </c>
      <c r="D159" t="s">
        <v>35</v>
      </c>
      <c r="E159" t="s">
        <v>26</v>
      </c>
      <c r="F159" t="s">
        <v>27</v>
      </c>
      <c r="G159" t="s">
        <v>157</v>
      </c>
      <c r="H159" t="s">
        <v>36</v>
      </c>
      <c r="I159" t="s">
        <v>36</v>
      </c>
      <c r="J159">
        <v>3</v>
      </c>
      <c r="K159">
        <v>0</v>
      </c>
      <c r="L159">
        <v>1</v>
      </c>
      <c r="M159">
        <v>177</v>
      </c>
      <c r="N159">
        <v>128</v>
      </c>
      <c r="O159">
        <v>429</v>
      </c>
      <c r="P159">
        <v>60723</v>
      </c>
      <c r="Q159">
        <v>1.84</v>
      </c>
      <c r="R159">
        <v>111741</v>
      </c>
      <c r="S159">
        <v>2207</v>
      </c>
      <c r="T159">
        <v>268</v>
      </c>
      <c r="U159">
        <v>622</v>
      </c>
      <c r="V159">
        <v>58</v>
      </c>
      <c r="W159">
        <v>1689</v>
      </c>
      <c r="X159">
        <v>71</v>
      </c>
      <c r="Y159" t="s">
        <v>497</v>
      </c>
      <c r="Z159">
        <v>4844</v>
      </c>
      <c r="AA159" t="s">
        <v>498</v>
      </c>
    </row>
    <row r="160" spans="1:27" x14ac:dyDescent="0.25">
      <c r="A160" t="s">
        <v>198</v>
      </c>
      <c r="B160" s="1">
        <v>45843</v>
      </c>
      <c r="C160" s="2">
        <v>0.75624999999999998</v>
      </c>
      <c r="D160" t="s">
        <v>38</v>
      </c>
      <c r="E160" t="s">
        <v>26</v>
      </c>
      <c r="F160" t="s">
        <v>45</v>
      </c>
      <c r="G160" t="s">
        <v>157</v>
      </c>
      <c r="H160" t="s">
        <v>29</v>
      </c>
      <c r="I160" t="s">
        <v>29</v>
      </c>
      <c r="J160">
        <v>8</v>
      </c>
      <c r="K160">
        <v>20</v>
      </c>
      <c r="L160">
        <v>1</v>
      </c>
      <c r="M160">
        <v>153</v>
      </c>
      <c r="N160">
        <v>242</v>
      </c>
      <c r="O160">
        <v>0</v>
      </c>
      <c r="P160">
        <v>9369</v>
      </c>
      <c r="Q160">
        <v>1.29</v>
      </c>
      <c r="R160">
        <v>12048</v>
      </c>
      <c r="S160">
        <v>1662</v>
      </c>
      <c r="T160">
        <v>238</v>
      </c>
      <c r="U160">
        <v>441</v>
      </c>
      <c r="V160">
        <v>53</v>
      </c>
      <c r="W160">
        <v>0</v>
      </c>
      <c r="X160">
        <v>1</v>
      </c>
      <c r="Y160" t="s">
        <v>497</v>
      </c>
      <c r="Z160">
        <v>2394</v>
      </c>
      <c r="AA160" t="s">
        <v>498</v>
      </c>
    </row>
    <row r="161" spans="1:27" x14ac:dyDescent="0.25">
      <c r="A161" t="s">
        <v>199</v>
      </c>
      <c r="B161" s="1">
        <v>45844</v>
      </c>
      <c r="C161" s="2">
        <v>0.67222222222222228</v>
      </c>
      <c r="D161" t="s">
        <v>38</v>
      </c>
      <c r="E161" t="s">
        <v>26</v>
      </c>
      <c r="F161" t="s">
        <v>45</v>
      </c>
      <c r="G161" t="s">
        <v>157</v>
      </c>
      <c r="H161" t="s">
        <v>29</v>
      </c>
      <c r="I161" t="s">
        <v>29</v>
      </c>
      <c r="J161">
        <v>5</v>
      </c>
      <c r="K161">
        <v>38</v>
      </c>
      <c r="L161">
        <v>1</v>
      </c>
      <c r="M161">
        <v>92</v>
      </c>
      <c r="N161">
        <v>133</v>
      </c>
      <c r="O161">
        <v>0</v>
      </c>
      <c r="P161">
        <v>24693</v>
      </c>
      <c r="Q161">
        <v>1.67</v>
      </c>
      <c r="R161">
        <v>41302</v>
      </c>
      <c r="S161">
        <v>4399</v>
      </c>
      <c r="T161">
        <v>668</v>
      </c>
      <c r="U161">
        <v>1327</v>
      </c>
      <c r="V161">
        <v>133</v>
      </c>
      <c r="W161">
        <v>0</v>
      </c>
      <c r="X161">
        <v>118</v>
      </c>
      <c r="Y161" t="s">
        <v>501</v>
      </c>
      <c r="Z161">
        <v>6527</v>
      </c>
      <c r="AA161" t="s">
        <v>498</v>
      </c>
    </row>
    <row r="162" spans="1:27" x14ac:dyDescent="0.25">
      <c r="A162" t="s">
        <v>200</v>
      </c>
      <c r="B162" s="1">
        <v>45844</v>
      </c>
      <c r="C162" s="2">
        <v>0.87083333333333335</v>
      </c>
      <c r="D162" t="s">
        <v>35</v>
      </c>
      <c r="E162" t="s">
        <v>39</v>
      </c>
      <c r="F162" t="s">
        <v>27</v>
      </c>
      <c r="G162" t="s">
        <v>157</v>
      </c>
      <c r="H162" t="s">
        <v>29</v>
      </c>
      <c r="I162" t="s">
        <v>29</v>
      </c>
      <c r="J162">
        <v>2</v>
      </c>
      <c r="K162">
        <v>0</v>
      </c>
      <c r="L162">
        <v>1</v>
      </c>
      <c r="M162">
        <v>146</v>
      </c>
      <c r="N162">
        <v>128</v>
      </c>
      <c r="O162">
        <v>0</v>
      </c>
      <c r="P162">
        <v>6717</v>
      </c>
      <c r="Q162">
        <v>1</v>
      </c>
      <c r="R162">
        <v>6717</v>
      </c>
      <c r="S162">
        <v>145</v>
      </c>
      <c r="T162">
        <v>45</v>
      </c>
      <c r="U162">
        <v>60</v>
      </c>
      <c r="V162">
        <v>0</v>
      </c>
      <c r="W162">
        <v>0</v>
      </c>
      <c r="X162">
        <v>10</v>
      </c>
      <c r="Y162" t="s">
        <v>497</v>
      </c>
      <c r="Z162">
        <v>250</v>
      </c>
      <c r="AA162" t="s">
        <v>498</v>
      </c>
    </row>
    <row r="163" spans="1:27" x14ac:dyDescent="0.25">
      <c r="A163" t="s">
        <v>201</v>
      </c>
      <c r="B163" s="1">
        <v>45845</v>
      </c>
      <c r="C163" s="2">
        <v>0.70694444444444449</v>
      </c>
      <c r="D163" t="s">
        <v>38</v>
      </c>
      <c r="E163" t="s">
        <v>26</v>
      </c>
      <c r="F163" t="s">
        <v>45</v>
      </c>
      <c r="G163" t="s">
        <v>157</v>
      </c>
      <c r="H163" t="s">
        <v>29</v>
      </c>
      <c r="I163" t="s">
        <v>36</v>
      </c>
      <c r="J163">
        <v>6</v>
      </c>
      <c r="K163">
        <v>47</v>
      </c>
      <c r="L163">
        <v>1</v>
      </c>
      <c r="M163">
        <v>58</v>
      </c>
      <c r="N163">
        <v>303</v>
      </c>
      <c r="O163">
        <v>0</v>
      </c>
      <c r="P163">
        <v>31246</v>
      </c>
      <c r="Q163">
        <v>1.51</v>
      </c>
      <c r="R163">
        <v>47046</v>
      </c>
      <c r="S163">
        <v>5357</v>
      </c>
      <c r="T163">
        <v>791</v>
      </c>
      <c r="U163">
        <v>1281</v>
      </c>
      <c r="V163">
        <v>133</v>
      </c>
      <c r="W163">
        <v>1217</v>
      </c>
      <c r="X163">
        <v>74</v>
      </c>
      <c r="Y163" t="s">
        <v>501</v>
      </c>
      <c r="Z163">
        <v>8779</v>
      </c>
      <c r="AA163" t="s">
        <v>498</v>
      </c>
    </row>
    <row r="164" spans="1:27" x14ac:dyDescent="0.25">
      <c r="A164" t="s">
        <v>202</v>
      </c>
      <c r="B164" s="1">
        <v>45845</v>
      </c>
      <c r="C164" s="2">
        <v>0.90486111111111112</v>
      </c>
      <c r="D164" t="s">
        <v>35</v>
      </c>
      <c r="E164" t="s">
        <v>48</v>
      </c>
      <c r="F164" t="s">
        <v>45</v>
      </c>
      <c r="G164" t="s">
        <v>157</v>
      </c>
      <c r="H164" t="s">
        <v>29</v>
      </c>
      <c r="I164" t="s">
        <v>29</v>
      </c>
      <c r="J164">
        <v>4</v>
      </c>
      <c r="K164">
        <v>78</v>
      </c>
      <c r="L164">
        <v>1</v>
      </c>
      <c r="M164">
        <v>132</v>
      </c>
      <c r="N164">
        <v>233</v>
      </c>
      <c r="O164">
        <v>0</v>
      </c>
      <c r="P164">
        <v>61306</v>
      </c>
      <c r="Q164">
        <v>1.01</v>
      </c>
      <c r="R164">
        <v>61984</v>
      </c>
      <c r="S164">
        <v>1865</v>
      </c>
      <c r="T164">
        <v>439</v>
      </c>
      <c r="U164">
        <v>649</v>
      </c>
      <c r="V164">
        <v>139</v>
      </c>
      <c r="W164">
        <v>0</v>
      </c>
      <c r="X164">
        <v>41</v>
      </c>
      <c r="Y164" t="s">
        <v>497</v>
      </c>
      <c r="Z164">
        <v>3092</v>
      </c>
      <c r="AA164" t="s">
        <v>498</v>
      </c>
    </row>
    <row r="165" spans="1:27" x14ac:dyDescent="0.25">
      <c r="A165" t="s">
        <v>203</v>
      </c>
      <c r="B165" s="1">
        <v>45846</v>
      </c>
      <c r="C165" s="2">
        <v>0.41249999999999998</v>
      </c>
      <c r="D165" t="s">
        <v>31</v>
      </c>
      <c r="E165" t="s">
        <v>26</v>
      </c>
      <c r="F165" t="s">
        <v>33</v>
      </c>
      <c r="G165" t="s">
        <v>157</v>
      </c>
      <c r="H165" t="s">
        <v>29</v>
      </c>
      <c r="I165" t="s">
        <v>29</v>
      </c>
      <c r="J165">
        <v>4</v>
      </c>
      <c r="K165">
        <v>0</v>
      </c>
      <c r="L165">
        <v>10</v>
      </c>
      <c r="M165">
        <v>216</v>
      </c>
      <c r="N165">
        <v>234</v>
      </c>
      <c r="O165">
        <v>0</v>
      </c>
      <c r="P165">
        <v>30420</v>
      </c>
      <c r="Q165">
        <v>1.0900000000000001</v>
      </c>
      <c r="R165">
        <v>33050</v>
      </c>
      <c r="S165">
        <v>914</v>
      </c>
      <c r="T165">
        <v>161</v>
      </c>
      <c r="U165">
        <v>243</v>
      </c>
      <c r="V165">
        <v>30</v>
      </c>
      <c r="W165">
        <v>0</v>
      </c>
      <c r="X165">
        <v>18</v>
      </c>
      <c r="Y165" t="s">
        <v>497</v>
      </c>
      <c r="Z165">
        <v>1348</v>
      </c>
      <c r="AA165" t="s">
        <v>498</v>
      </c>
    </row>
    <row r="166" spans="1:27" x14ac:dyDescent="0.25">
      <c r="A166" t="s">
        <v>204</v>
      </c>
      <c r="B166" s="1">
        <v>45846</v>
      </c>
      <c r="C166" s="2">
        <v>0.45902777777777776</v>
      </c>
      <c r="D166" t="s">
        <v>25</v>
      </c>
      <c r="E166" t="s">
        <v>26</v>
      </c>
      <c r="F166" t="s">
        <v>33</v>
      </c>
      <c r="G166" t="s">
        <v>157</v>
      </c>
      <c r="H166" t="s">
        <v>29</v>
      </c>
      <c r="I166" t="s">
        <v>29</v>
      </c>
      <c r="J166">
        <v>5</v>
      </c>
      <c r="K166">
        <v>0</v>
      </c>
      <c r="L166">
        <v>7</v>
      </c>
      <c r="M166">
        <v>163</v>
      </c>
      <c r="N166">
        <v>94</v>
      </c>
      <c r="O166">
        <v>0</v>
      </c>
      <c r="P166">
        <v>33664</v>
      </c>
      <c r="Q166">
        <v>1</v>
      </c>
      <c r="R166">
        <v>33664</v>
      </c>
      <c r="S166">
        <v>969</v>
      </c>
      <c r="T166">
        <v>142</v>
      </c>
      <c r="U166">
        <v>235</v>
      </c>
      <c r="V166">
        <v>23</v>
      </c>
      <c r="W166">
        <v>0</v>
      </c>
      <c r="X166">
        <v>25</v>
      </c>
      <c r="Y166" t="s">
        <v>497</v>
      </c>
      <c r="Z166">
        <v>1369</v>
      </c>
      <c r="AA166" t="s">
        <v>498</v>
      </c>
    </row>
    <row r="167" spans="1:27" x14ac:dyDescent="0.25">
      <c r="A167" t="s">
        <v>205</v>
      </c>
      <c r="B167" s="1">
        <v>45846</v>
      </c>
      <c r="C167" s="2">
        <v>0.57152777777777775</v>
      </c>
      <c r="D167" t="s">
        <v>25</v>
      </c>
      <c r="E167" t="s">
        <v>26</v>
      </c>
      <c r="F167" t="s">
        <v>27</v>
      </c>
      <c r="G167" t="s">
        <v>157</v>
      </c>
      <c r="H167" t="s">
        <v>29</v>
      </c>
      <c r="I167" t="s">
        <v>36</v>
      </c>
      <c r="J167">
        <v>8</v>
      </c>
      <c r="K167">
        <v>0</v>
      </c>
      <c r="L167">
        <v>1</v>
      </c>
      <c r="M167">
        <v>175</v>
      </c>
      <c r="N167">
        <v>137</v>
      </c>
      <c r="O167">
        <v>0</v>
      </c>
      <c r="P167">
        <v>18728</v>
      </c>
      <c r="Q167">
        <v>1.08</v>
      </c>
      <c r="R167">
        <v>20141</v>
      </c>
      <c r="S167">
        <v>933</v>
      </c>
      <c r="T167">
        <v>167</v>
      </c>
      <c r="U167">
        <v>274</v>
      </c>
      <c r="V167">
        <v>32</v>
      </c>
      <c r="W167">
        <v>345</v>
      </c>
      <c r="X167">
        <v>8</v>
      </c>
      <c r="Y167" t="s">
        <v>497</v>
      </c>
      <c r="Z167">
        <v>1751</v>
      </c>
      <c r="AA167" t="s">
        <v>498</v>
      </c>
    </row>
    <row r="168" spans="1:27" x14ac:dyDescent="0.25">
      <c r="A168" t="s">
        <v>206</v>
      </c>
      <c r="B168" s="1">
        <v>45846</v>
      </c>
      <c r="C168" s="2">
        <v>0.71666666666666667</v>
      </c>
      <c r="D168" t="s">
        <v>38</v>
      </c>
      <c r="E168" t="s">
        <v>26</v>
      </c>
      <c r="F168" t="s">
        <v>45</v>
      </c>
      <c r="G168" t="s">
        <v>157</v>
      </c>
      <c r="H168" t="s">
        <v>29</v>
      </c>
      <c r="I168" t="s">
        <v>29</v>
      </c>
      <c r="J168">
        <v>4</v>
      </c>
      <c r="K168">
        <v>55</v>
      </c>
      <c r="L168">
        <v>1</v>
      </c>
      <c r="M168">
        <v>161</v>
      </c>
      <c r="N168">
        <v>181</v>
      </c>
      <c r="O168">
        <v>0</v>
      </c>
      <c r="P168">
        <v>26449</v>
      </c>
      <c r="Q168">
        <v>1.32</v>
      </c>
      <c r="R168">
        <v>34960</v>
      </c>
      <c r="S168">
        <v>4002</v>
      </c>
      <c r="T168">
        <v>544</v>
      </c>
      <c r="U168">
        <v>934</v>
      </c>
      <c r="V168">
        <v>128</v>
      </c>
      <c r="W168">
        <v>0</v>
      </c>
      <c r="X168">
        <v>43</v>
      </c>
      <c r="Y168" t="s">
        <v>497</v>
      </c>
      <c r="Z168">
        <v>5608</v>
      </c>
      <c r="AA168" t="s">
        <v>498</v>
      </c>
    </row>
    <row r="169" spans="1:27" x14ac:dyDescent="0.25">
      <c r="A169" t="s">
        <v>207</v>
      </c>
      <c r="B169" s="1">
        <v>45847</v>
      </c>
      <c r="C169" s="2">
        <v>0.6645833333333333</v>
      </c>
      <c r="D169" t="s">
        <v>38</v>
      </c>
      <c r="E169" t="s">
        <v>48</v>
      </c>
      <c r="F169" t="s">
        <v>42</v>
      </c>
      <c r="G169" t="s">
        <v>157</v>
      </c>
      <c r="H169" t="s">
        <v>29</v>
      </c>
      <c r="I169" t="s">
        <v>36</v>
      </c>
      <c r="J169">
        <v>5</v>
      </c>
      <c r="K169">
        <v>0</v>
      </c>
      <c r="L169">
        <v>1</v>
      </c>
      <c r="M169">
        <v>326</v>
      </c>
      <c r="N169">
        <v>79</v>
      </c>
      <c r="O169">
        <v>0</v>
      </c>
      <c r="P169">
        <v>4544</v>
      </c>
      <c r="Q169">
        <v>1.04</v>
      </c>
      <c r="R169">
        <v>4704</v>
      </c>
      <c r="S169">
        <v>77</v>
      </c>
      <c r="T169">
        <v>22</v>
      </c>
      <c r="U169">
        <v>24</v>
      </c>
      <c r="V169">
        <v>6</v>
      </c>
      <c r="W169">
        <v>69</v>
      </c>
      <c r="X169">
        <v>9</v>
      </c>
      <c r="Y169" t="s">
        <v>499</v>
      </c>
      <c r="Z169">
        <v>198</v>
      </c>
      <c r="AA169" t="s">
        <v>498</v>
      </c>
    </row>
    <row r="170" spans="1:27" x14ac:dyDescent="0.25">
      <c r="A170" t="s">
        <v>208</v>
      </c>
      <c r="B170" s="1">
        <v>45849</v>
      </c>
      <c r="C170" s="2">
        <v>0.69722222222222219</v>
      </c>
      <c r="D170" t="s">
        <v>38</v>
      </c>
      <c r="E170" t="s">
        <v>39</v>
      </c>
      <c r="F170" t="s">
        <v>45</v>
      </c>
      <c r="G170" t="s">
        <v>157</v>
      </c>
      <c r="H170" t="s">
        <v>29</v>
      </c>
      <c r="I170" t="s">
        <v>29</v>
      </c>
      <c r="J170">
        <v>1</v>
      </c>
      <c r="K170">
        <v>95</v>
      </c>
      <c r="L170">
        <v>1</v>
      </c>
      <c r="M170">
        <v>93</v>
      </c>
      <c r="N170">
        <v>109</v>
      </c>
      <c r="O170">
        <v>0</v>
      </c>
      <c r="P170">
        <v>10930</v>
      </c>
      <c r="Q170">
        <v>1.03</v>
      </c>
      <c r="R170">
        <v>11270</v>
      </c>
      <c r="S170">
        <v>231</v>
      </c>
      <c r="T170">
        <v>71</v>
      </c>
      <c r="U170">
        <v>107</v>
      </c>
      <c r="V170">
        <v>0</v>
      </c>
      <c r="W170">
        <v>0</v>
      </c>
      <c r="X170">
        <v>14</v>
      </c>
      <c r="Y170" t="s">
        <v>501</v>
      </c>
      <c r="Z170">
        <v>409</v>
      </c>
      <c r="AA170" t="s">
        <v>498</v>
      </c>
    </row>
    <row r="171" spans="1:27" x14ac:dyDescent="0.25">
      <c r="A171" t="s">
        <v>209</v>
      </c>
      <c r="B171" s="1">
        <v>45849</v>
      </c>
      <c r="C171" s="2">
        <v>0.78055555555555556</v>
      </c>
      <c r="D171" t="s">
        <v>38</v>
      </c>
      <c r="E171" t="s">
        <v>48</v>
      </c>
      <c r="F171" t="s">
        <v>27</v>
      </c>
      <c r="G171" t="s">
        <v>157</v>
      </c>
      <c r="H171" t="s">
        <v>29</v>
      </c>
      <c r="I171" t="s">
        <v>36</v>
      </c>
      <c r="J171">
        <v>4</v>
      </c>
      <c r="K171">
        <v>0</v>
      </c>
      <c r="L171">
        <v>1</v>
      </c>
      <c r="M171">
        <v>121</v>
      </c>
      <c r="N171">
        <v>68</v>
      </c>
      <c r="O171">
        <v>0</v>
      </c>
      <c r="P171">
        <v>9050</v>
      </c>
      <c r="Q171">
        <v>1.1100000000000001</v>
      </c>
      <c r="R171">
        <v>10015</v>
      </c>
      <c r="S171">
        <v>189</v>
      </c>
      <c r="T171">
        <v>43</v>
      </c>
      <c r="U171">
        <v>52</v>
      </c>
      <c r="V171">
        <v>14</v>
      </c>
      <c r="W171">
        <v>216</v>
      </c>
      <c r="X171">
        <v>4</v>
      </c>
      <c r="Y171" t="s">
        <v>497</v>
      </c>
      <c r="Z171">
        <v>514</v>
      </c>
      <c r="AA171" t="s">
        <v>498</v>
      </c>
    </row>
    <row r="172" spans="1:27" x14ac:dyDescent="0.25">
      <c r="A172" t="s">
        <v>210</v>
      </c>
      <c r="B172" s="1">
        <v>45851</v>
      </c>
      <c r="C172" s="2">
        <v>0.78194444444444444</v>
      </c>
      <c r="D172" t="s">
        <v>38</v>
      </c>
      <c r="E172" t="s">
        <v>32</v>
      </c>
      <c r="F172" t="s">
        <v>45</v>
      </c>
      <c r="G172" t="s">
        <v>157</v>
      </c>
      <c r="H172" t="s">
        <v>29</v>
      </c>
      <c r="I172" t="s">
        <v>29</v>
      </c>
      <c r="J172">
        <v>8</v>
      </c>
      <c r="K172">
        <v>56</v>
      </c>
      <c r="L172">
        <v>1</v>
      </c>
      <c r="M172">
        <v>66</v>
      </c>
      <c r="N172">
        <v>262</v>
      </c>
      <c r="O172">
        <v>0</v>
      </c>
      <c r="P172">
        <v>4064</v>
      </c>
      <c r="Q172">
        <v>1.08</v>
      </c>
      <c r="R172">
        <v>4397</v>
      </c>
      <c r="S172">
        <v>93</v>
      </c>
      <c r="T172">
        <v>14</v>
      </c>
      <c r="U172">
        <v>19</v>
      </c>
      <c r="V172">
        <v>10</v>
      </c>
      <c r="W172">
        <v>0</v>
      </c>
      <c r="X172">
        <v>0</v>
      </c>
      <c r="Y172" t="s">
        <v>501</v>
      </c>
      <c r="Z172">
        <v>136</v>
      </c>
      <c r="AA172" t="s">
        <v>498</v>
      </c>
    </row>
    <row r="173" spans="1:27" x14ac:dyDescent="0.25">
      <c r="A173" t="s">
        <v>211</v>
      </c>
      <c r="B173" s="1">
        <v>45853</v>
      </c>
      <c r="C173" s="2">
        <v>0.90069444444444446</v>
      </c>
      <c r="D173" t="s">
        <v>35</v>
      </c>
      <c r="E173" t="s">
        <v>39</v>
      </c>
      <c r="F173" t="s">
        <v>27</v>
      </c>
      <c r="G173" t="s">
        <v>157</v>
      </c>
      <c r="H173" t="s">
        <v>36</v>
      </c>
      <c r="I173" t="s">
        <v>36</v>
      </c>
      <c r="J173">
        <v>3</v>
      </c>
      <c r="K173">
        <v>0</v>
      </c>
      <c r="L173">
        <v>1</v>
      </c>
      <c r="M173">
        <v>181</v>
      </c>
      <c r="N173">
        <v>130</v>
      </c>
      <c r="O173">
        <v>504</v>
      </c>
      <c r="P173">
        <v>53504</v>
      </c>
      <c r="Q173">
        <v>1.45</v>
      </c>
      <c r="R173">
        <v>77751</v>
      </c>
      <c r="S173">
        <v>1619</v>
      </c>
      <c r="T173">
        <v>555</v>
      </c>
      <c r="U173">
        <v>760</v>
      </c>
      <c r="V173">
        <v>0</v>
      </c>
      <c r="W173">
        <v>1307</v>
      </c>
      <c r="X173">
        <v>43</v>
      </c>
      <c r="Y173" t="s">
        <v>497</v>
      </c>
      <c r="Z173">
        <v>4241</v>
      </c>
      <c r="AA173" t="s">
        <v>498</v>
      </c>
    </row>
    <row r="174" spans="1:27" x14ac:dyDescent="0.25">
      <c r="A174" t="s">
        <v>212</v>
      </c>
      <c r="B174" s="1">
        <v>45855</v>
      </c>
      <c r="C174" s="2">
        <v>0.74652777777777779</v>
      </c>
      <c r="D174" t="s">
        <v>38</v>
      </c>
      <c r="E174" t="s">
        <v>32</v>
      </c>
      <c r="F174" t="s">
        <v>27</v>
      </c>
      <c r="G174" t="s">
        <v>157</v>
      </c>
      <c r="H174" t="s">
        <v>29</v>
      </c>
      <c r="I174" t="s">
        <v>36</v>
      </c>
      <c r="J174">
        <v>11</v>
      </c>
      <c r="K174">
        <v>0</v>
      </c>
      <c r="L174">
        <v>1</v>
      </c>
      <c r="M174">
        <v>210</v>
      </c>
      <c r="N174">
        <v>92</v>
      </c>
      <c r="O174">
        <v>0</v>
      </c>
      <c r="P174">
        <v>22699</v>
      </c>
      <c r="Q174">
        <v>1.22</v>
      </c>
      <c r="R174">
        <v>27589</v>
      </c>
      <c r="S174">
        <v>1152</v>
      </c>
      <c r="T174">
        <v>182</v>
      </c>
      <c r="U174">
        <v>237</v>
      </c>
      <c r="V174">
        <v>158</v>
      </c>
      <c r="W174">
        <v>571</v>
      </c>
      <c r="X174">
        <v>13</v>
      </c>
      <c r="Y174" t="s">
        <v>497</v>
      </c>
      <c r="Z174">
        <v>2300</v>
      </c>
      <c r="AA174" t="s">
        <v>498</v>
      </c>
    </row>
    <row r="175" spans="1:27" x14ac:dyDescent="0.25">
      <c r="A175" t="s">
        <v>213</v>
      </c>
      <c r="B175" s="1">
        <v>45858</v>
      </c>
      <c r="C175" s="2">
        <v>0.5756944444444444</v>
      </c>
      <c r="D175" t="s">
        <v>25</v>
      </c>
      <c r="E175" t="s">
        <v>48</v>
      </c>
      <c r="F175" t="s">
        <v>45</v>
      </c>
      <c r="G175" t="s">
        <v>157</v>
      </c>
      <c r="H175" t="s">
        <v>29</v>
      </c>
      <c r="I175" t="s">
        <v>29</v>
      </c>
      <c r="J175">
        <v>3</v>
      </c>
      <c r="K175">
        <v>162</v>
      </c>
      <c r="L175">
        <v>1</v>
      </c>
      <c r="M175">
        <v>180</v>
      </c>
      <c r="N175">
        <v>197</v>
      </c>
      <c r="O175">
        <v>0</v>
      </c>
      <c r="P175">
        <v>12643</v>
      </c>
      <c r="Q175">
        <v>1.04</v>
      </c>
      <c r="R175">
        <v>13138</v>
      </c>
      <c r="S175">
        <v>101</v>
      </c>
      <c r="T175">
        <v>31</v>
      </c>
      <c r="U175">
        <v>42</v>
      </c>
      <c r="V175">
        <v>9</v>
      </c>
      <c r="W175">
        <v>0</v>
      </c>
      <c r="X175">
        <v>2</v>
      </c>
      <c r="Y175" t="s">
        <v>497</v>
      </c>
      <c r="Z175">
        <v>183</v>
      </c>
      <c r="AA175" t="s">
        <v>498</v>
      </c>
    </row>
    <row r="176" spans="1:27" x14ac:dyDescent="0.25">
      <c r="A176" t="s">
        <v>214</v>
      </c>
      <c r="B176" s="1">
        <v>45859</v>
      </c>
      <c r="C176" s="2">
        <v>0.33888888888888891</v>
      </c>
      <c r="D176" t="s">
        <v>31</v>
      </c>
      <c r="E176" t="s">
        <v>32</v>
      </c>
      <c r="F176" t="s">
        <v>27</v>
      </c>
      <c r="G176" t="s">
        <v>157</v>
      </c>
      <c r="H176" t="s">
        <v>29</v>
      </c>
      <c r="I176" t="s">
        <v>29</v>
      </c>
      <c r="J176">
        <v>11</v>
      </c>
      <c r="K176">
        <v>0</v>
      </c>
      <c r="L176">
        <v>1</v>
      </c>
      <c r="M176">
        <v>234</v>
      </c>
      <c r="N176">
        <v>128</v>
      </c>
      <c r="O176">
        <v>0</v>
      </c>
      <c r="P176">
        <v>11763</v>
      </c>
      <c r="Q176">
        <v>1.46</v>
      </c>
      <c r="R176">
        <v>17187</v>
      </c>
      <c r="S176">
        <v>487</v>
      </c>
      <c r="T176">
        <v>80</v>
      </c>
      <c r="U176">
        <v>105</v>
      </c>
      <c r="V176">
        <v>55</v>
      </c>
      <c r="W176">
        <v>0</v>
      </c>
      <c r="X176">
        <v>0</v>
      </c>
      <c r="Y176" t="s">
        <v>497</v>
      </c>
      <c r="Z176">
        <v>727</v>
      </c>
      <c r="AA176" t="s">
        <v>498</v>
      </c>
    </row>
    <row r="177" spans="1:27" x14ac:dyDescent="0.25">
      <c r="A177" t="s">
        <v>215</v>
      </c>
      <c r="B177" s="1">
        <v>45859</v>
      </c>
      <c r="C177" s="2">
        <v>0.64722222222222225</v>
      </c>
      <c r="D177" t="s">
        <v>38</v>
      </c>
      <c r="E177" t="s">
        <v>39</v>
      </c>
      <c r="F177" t="s">
        <v>33</v>
      </c>
      <c r="G177" t="s">
        <v>157</v>
      </c>
      <c r="H177" t="s">
        <v>29</v>
      </c>
      <c r="I177" t="s">
        <v>36</v>
      </c>
      <c r="J177">
        <v>3</v>
      </c>
      <c r="K177">
        <v>0</v>
      </c>
      <c r="L177">
        <v>3</v>
      </c>
      <c r="M177">
        <v>107</v>
      </c>
      <c r="N177">
        <v>78</v>
      </c>
      <c r="O177">
        <v>0</v>
      </c>
      <c r="P177">
        <v>10005</v>
      </c>
      <c r="Q177">
        <v>1.1299999999999999</v>
      </c>
      <c r="R177">
        <v>11299</v>
      </c>
      <c r="S177">
        <v>115</v>
      </c>
      <c r="T177">
        <v>43</v>
      </c>
      <c r="U177">
        <v>55</v>
      </c>
      <c r="V177">
        <v>0</v>
      </c>
      <c r="W177">
        <v>300</v>
      </c>
      <c r="X177">
        <v>4</v>
      </c>
      <c r="Y177" t="s">
        <v>497</v>
      </c>
      <c r="Z177">
        <v>513</v>
      </c>
      <c r="AA177" t="s">
        <v>498</v>
      </c>
    </row>
    <row r="178" spans="1:27" x14ac:dyDescent="0.25">
      <c r="A178" t="s">
        <v>216</v>
      </c>
      <c r="B178" s="1">
        <v>45859</v>
      </c>
      <c r="C178" s="2">
        <v>0.77500000000000002</v>
      </c>
      <c r="D178" t="s">
        <v>38</v>
      </c>
      <c r="E178" t="s">
        <v>32</v>
      </c>
      <c r="F178" t="s">
        <v>45</v>
      </c>
      <c r="G178" t="s">
        <v>157</v>
      </c>
      <c r="H178" t="s">
        <v>29</v>
      </c>
      <c r="I178" t="s">
        <v>29</v>
      </c>
      <c r="J178">
        <v>13</v>
      </c>
      <c r="K178">
        <v>52</v>
      </c>
      <c r="L178">
        <v>1</v>
      </c>
      <c r="M178">
        <v>137</v>
      </c>
      <c r="N178">
        <v>134</v>
      </c>
      <c r="O178">
        <v>0</v>
      </c>
      <c r="P178">
        <v>19293</v>
      </c>
      <c r="Q178">
        <v>1.33</v>
      </c>
      <c r="R178">
        <v>25570</v>
      </c>
      <c r="S178">
        <v>1581</v>
      </c>
      <c r="T178">
        <v>297</v>
      </c>
      <c r="U178">
        <v>347</v>
      </c>
      <c r="V178">
        <v>191</v>
      </c>
      <c r="W178">
        <v>0</v>
      </c>
      <c r="X178">
        <v>19</v>
      </c>
      <c r="Y178" t="s">
        <v>497</v>
      </c>
      <c r="Z178">
        <v>2416</v>
      </c>
      <c r="AA178" t="s">
        <v>498</v>
      </c>
    </row>
    <row r="179" spans="1:27" x14ac:dyDescent="0.25">
      <c r="A179" t="s">
        <v>217</v>
      </c>
      <c r="B179" s="1">
        <v>45859</v>
      </c>
      <c r="C179" s="2">
        <v>0.82499999999999996</v>
      </c>
      <c r="D179" t="s">
        <v>35</v>
      </c>
      <c r="E179" t="s">
        <v>48</v>
      </c>
      <c r="F179" t="s">
        <v>33</v>
      </c>
      <c r="G179" t="s">
        <v>157</v>
      </c>
      <c r="H179" t="s">
        <v>29</v>
      </c>
      <c r="I179" t="s">
        <v>36</v>
      </c>
      <c r="J179">
        <v>4</v>
      </c>
      <c r="K179">
        <v>0</v>
      </c>
      <c r="L179">
        <v>4</v>
      </c>
      <c r="M179">
        <v>123</v>
      </c>
      <c r="N179">
        <v>201</v>
      </c>
      <c r="O179">
        <v>0</v>
      </c>
      <c r="P179">
        <v>8853</v>
      </c>
      <c r="Q179">
        <v>1.06</v>
      </c>
      <c r="R179">
        <v>9353</v>
      </c>
      <c r="S179">
        <v>209</v>
      </c>
      <c r="T179">
        <v>56</v>
      </c>
      <c r="U179">
        <v>73</v>
      </c>
      <c r="V179">
        <v>17</v>
      </c>
      <c r="W179">
        <v>336</v>
      </c>
      <c r="X179">
        <v>11</v>
      </c>
      <c r="Y179" t="s">
        <v>497</v>
      </c>
      <c r="Z179">
        <v>691</v>
      </c>
      <c r="AA179" t="s">
        <v>498</v>
      </c>
    </row>
    <row r="180" spans="1:27" x14ac:dyDescent="0.25">
      <c r="A180" t="s">
        <v>218</v>
      </c>
      <c r="B180" s="1">
        <v>45860</v>
      </c>
      <c r="C180" s="2">
        <v>0.48194444444444445</v>
      </c>
      <c r="D180" t="s">
        <v>25</v>
      </c>
      <c r="E180" t="s">
        <v>39</v>
      </c>
      <c r="F180" t="s">
        <v>42</v>
      </c>
      <c r="G180" t="s">
        <v>157</v>
      </c>
      <c r="H180" t="s">
        <v>29</v>
      </c>
      <c r="I180" t="s">
        <v>29</v>
      </c>
      <c r="J180">
        <v>4</v>
      </c>
      <c r="K180">
        <v>0</v>
      </c>
      <c r="L180">
        <v>1</v>
      </c>
      <c r="M180">
        <v>484</v>
      </c>
      <c r="N180">
        <v>86</v>
      </c>
      <c r="O180">
        <v>0</v>
      </c>
      <c r="P180">
        <v>7683</v>
      </c>
      <c r="Q180">
        <v>1.0900000000000001</v>
      </c>
      <c r="R180">
        <v>8369</v>
      </c>
      <c r="S180">
        <v>152</v>
      </c>
      <c r="T180">
        <v>60</v>
      </c>
      <c r="U180">
        <v>62</v>
      </c>
      <c r="V180">
        <v>0</v>
      </c>
      <c r="W180">
        <v>0</v>
      </c>
      <c r="X180">
        <v>4</v>
      </c>
      <c r="Y180" t="s">
        <v>499</v>
      </c>
      <c r="Z180">
        <v>274</v>
      </c>
      <c r="AA180" t="s">
        <v>498</v>
      </c>
    </row>
    <row r="181" spans="1:27" x14ac:dyDescent="0.25">
      <c r="A181" t="s">
        <v>219</v>
      </c>
      <c r="B181" s="1">
        <v>45860</v>
      </c>
      <c r="C181" s="2">
        <v>0.86041666666666672</v>
      </c>
      <c r="D181" t="s">
        <v>35</v>
      </c>
      <c r="E181" t="s">
        <v>26</v>
      </c>
      <c r="F181" t="s">
        <v>33</v>
      </c>
      <c r="G181" t="s">
        <v>157</v>
      </c>
      <c r="H181" t="s">
        <v>29</v>
      </c>
      <c r="I181" t="s">
        <v>29</v>
      </c>
      <c r="J181">
        <v>8</v>
      </c>
      <c r="K181">
        <v>0</v>
      </c>
      <c r="L181">
        <v>7</v>
      </c>
      <c r="M181">
        <v>292</v>
      </c>
      <c r="N181">
        <v>218</v>
      </c>
      <c r="O181">
        <v>0</v>
      </c>
      <c r="P181">
        <v>12983</v>
      </c>
      <c r="Q181">
        <v>1.48</v>
      </c>
      <c r="R181">
        <v>19195</v>
      </c>
      <c r="S181">
        <v>419</v>
      </c>
      <c r="T181">
        <v>56</v>
      </c>
      <c r="U181">
        <v>127</v>
      </c>
      <c r="V181">
        <v>11</v>
      </c>
      <c r="W181">
        <v>0</v>
      </c>
      <c r="X181">
        <v>17</v>
      </c>
      <c r="Y181" t="s">
        <v>499</v>
      </c>
      <c r="Z181">
        <v>613</v>
      </c>
      <c r="AA181" t="s">
        <v>498</v>
      </c>
    </row>
    <row r="182" spans="1:27" x14ac:dyDescent="0.25">
      <c r="A182" t="s">
        <v>220</v>
      </c>
      <c r="B182" s="1">
        <v>45861</v>
      </c>
      <c r="C182" s="2">
        <v>0.61527777777777781</v>
      </c>
      <c r="D182" t="s">
        <v>25</v>
      </c>
      <c r="E182" t="s">
        <v>32</v>
      </c>
      <c r="F182" t="s">
        <v>45</v>
      </c>
      <c r="G182" t="s">
        <v>157</v>
      </c>
      <c r="H182" t="s">
        <v>36</v>
      </c>
      <c r="I182" t="s">
        <v>36</v>
      </c>
      <c r="J182">
        <v>11</v>
      </c>
      <c r="K182">
        <v>54</v>
      </c>
      <c r="L182">
        <v>1</v>
      </c>
      <c r="M182">
        <v>177</v>
      </c>
      <c r="N182">
        <v>221</v>
      </c>
      <c r="O182">
        <v>623</v>
      </c>
      <c r="P182">
        <v>41668</v>
      </c>
      <c r="Q182">
        <v>1.71</v>
      </c>
      <c r="R182">
        <v>71321</v>
      </c>
      <c r="S182">
        <v>3377</v>
      </c>
      <c r="T182">
        <v>495</v>
      </c>
      <c r="U182">
        <v>774</v>
      </c>
      <c r="V182">
        <v>332</v>
      </c>
      <c r="W182">
        <v>1751</v>
      </c>
      <c r="X182">
        <v>74</v>
      </c>
      <c r="Y182" t="s">
        <v>497</v>
      </c>
      <c r="Z182">
        <v>6729</v>
      </c>
      <c r="AA182" t="s">
        <v>498</v>
      </c>
    </row>
    <row r="183" spans="1:27" x14ac:dyDescent="0.25">
      <c r="A183" t="s">
        <v>221</v>
      </c>
      <c r="B183" s="1">
        <v>45862</v>
      </c>
      <c r="C183" s="2">
        <v>0.58611111111111114</v>
      </c>
      <c r="D183" t="s">
        <v>25</v>
      </c>
      <c r="E183" t="s">
        <v>26</v>
      </c>
      <c r="F183" t="s">
        <v>27</v>
      </c>
      <c r="G183" t="s">
        <v>157</v>
      </c>
      <c r="H183" t="s">
        <v>36</v>
      </c>
      <c r="I183" t="s">
        <v>29</v>
      </c>
      <c r="J183">
        <v>3</v>
      </c>
      <c r="K183">
        <v>0</v>
      </c>
      <c r="L183">
        <v>1</v>
      </c>
      <c r="M183">
        <v>83</v>
      </c>
      <c r="N183">
        <v>149</v>
      </c>
      <c r="O183">
        <v>551</v>
      </c>
      <c r="P183">
        <v>57011</v>
      </c>
      <c r="Q183">
        <v>1.72</v>
      </c>
      <c r="R183">
        <v>98174</v>
      </c>
      <c r="S183">
        <v>3677</v>
      </c>
      <c r="T183">
        <v>537</v>
      </c>
      <c r="U183">
        <v>1011</v>
      </c>
      <c r="V183">
        <v>110</v>
      </c>
      <c r="W183">
        <v>0</v>
      </c>
      <c r="X183">
        <v>99</v>
      </c>
      <c r="Y183" t="s">
        <v>501</v>
      </c>
      <c r="Z183">
        <v>5335</v>
      </c>
      <c r="AA183" t="s">
        <v>498</v>
      </c>
    </row>
    <row r="184" spans="1:27" x14ac:dyDescent="0.25">
      <c r="A184" t="s">
        <v>222</v>
      </c>
      <c r="B184" s="1">
        <v>45864</v>
      </c>
      <c r="C184" s="2">
        <v>0.50624999999999998</v>
      </c>
      <c r="D184" t="s">
        <v>25</v>
      </c>
      <c r="E184" t="s">
        <v>39</v>
      </c>
      <c r="F184" t="s">
        <v>45</v>
      </c>
      <c r="G184" t="s">
        <v>157</v>
      </c>
      <c r="H184" t="s">
        <v>36</v>
      </c>
      <c r="I184" t="s">
        <v>29</v>
      </c>
      <c r="J184">
        <v>3</v>
      </c>
      <c r="K184">
        <v>59</v>
      </c>
      <c r="L184">
        <v>1</v>
      </c>
      <c r="M184">
        <v>121</v>
      </c>
      <c r="N184">
        <v>202</v>
      </c>
      <c r="O184">
        <v>472</v>
      </c>
      <c r="P184">
        <v>22483</v>
      </c>
      <c r="Q184">
        <v>1.79</v>
      </c>
      <c r="R184">
        <v>40340</v>
      </c>
      <c r="S184">
        <v>582</v>
      </c>
      <c r="T184">
        <v>215</v>
      </c>
      <c r="U184">
        <v>221</v>
      </c>
      <c r="V184">
        <v>0</v>
      </c>
      <c r="W184">
        <v>0</v>
      </c>
      <c r="X184">
        <v>18</v>
      </c>
      <c r="Y184" t="s">
        <v>497</v>
      </c>
      <c r="Z184">
        <v>1018</v>
      </c>
      <c r="AA184" t="s">
        <v>498</v>
      </c>
    </row>
    <row r="185" spans="1:27" x14ac:dyDescent="0.25">
      <c r="A185" t="s">
        <v>223</v>
      </c>
      <c r="B185" s="1">
        <v>45864</v>
      </c>
      <c r="C185" s="2">
        <v>0.62569444444444444</v>
      </c>
      <c r="D185" t="s">
        <v>38</v>
      </c>
      <c r="E185" t="s">
        <v>48</v>
      </c>
      <c r="F185" t="s">
        <v>33</v>
      </c>
      <c r="G185" t="s">
        <v>157</v>
      </c>
      <c r="H185" t="s">
        <v>36</v>
      </c>
      <c r="I185" t="s">
        <v>36</v>
      </c>
      <c r="J185">
        <v>6</v>
      </c>
      <c r="K185">
        <v>0</v>
      </c>
      <c r="L185">
        <v>3</v>
      </c>
      <c r="M185">
        <v>241</v>
      </c>
      <c r="N185">
        <v>200</v>
      </c>
      <c r="O185">
        <v>565</v>
      </c>
      <c r="P185">
        <v>46371</v>
      </c>
      <c r="Q185">
        <v>1.71</v>
      </c>
      <c r="R185">
        <v>79431</v>
      </c>
      <c r="S185">
        <v>1776</v>
      </c>
      <c r="T185">
        <v>528</v>
      </c>
      <c r="U185">
        <v>640</v>
      </c>
      <c r="V185">
        <v>170</v>
      </c>
      <c r="W185">
        <v>2235</v>
      </c>
      <c r="X185">
        <v>40</v>
      </c>
      <c r="Y185" t="s">
        <v>497</v>
      </c>
      <c r="Z185">
        <v>5349</v>
      </c>
      <c r="AA185" t="s">
        <v>498</v>
      </c>
    </row>
    <row r="186" spans="1:27" x14ac:dyDescent="0.25">
      <c r="A186" t="s">
        <v>224</v>
      </c>
      <c r="B186" s="1">
        <v>45865</v>
      </c>
      <c r="C186" s="2">
        <v>0.7270833333333333</v>
      </c>
      <c r="D186" t="s">
        <v>38</v>
      </c>
      <c r="E186" t="s">
        <v>48</v>
      </c>
      <c r="F186" t="s">
        <v>42</v>
      </c>
      <c r="G186" t="s">
        <v>157</v>
      </c>
      <c r="H186" t="s">
        <v>29</v>
      </c>
      <c r="I186" t="s">
        <v>29</v>
      </c>
      <c r="J186">
        <v>4</v>
      </c>
      <c r="K186">
        <v>0</v>
      </c>
      <c r="L186">
        <v>1</v>
      </c>
      <c r="M186">
        <v>246</v>
      </c>
      <c r="N186">
        <v>70</v>
      </c>
      <c r="O186">
        <v>0</v>
      </c>
      <c r="P186">
        <v>9442</v>
      </c>
      <c r="Q186">
        <v>1.08</v>
      </c>
      <c r="R186">
        <v>10214</v>
      </c>
      <c r="S186">
        <v>151</v>
      </c>
      <c r="T186">
        <v>35</v>
      </c>
      <c r="U186">
        <v>54</v>
      </c>
      <c r="V186">
        <v>11</v>
      </c>
      <c r="W186">
        <v>0</v>
      </c>
      <c r="X186">
        <v>5</v>
      </c>
      <c r="Y186" t="s">
        <v>497</v>
      </c>
      <c r="Z186">
        <v>251</v>
      </c>
      <c r="AA186" t="s">
        <v>498</v>
      </c>
    </row>
    <row r="187" spans="1:27" x14ac:dyDescent="0.25">
      <c r="A187" t="s">
        <v>225</v>
      </c>
      <c r="B187" s="1">
        <v>45866</v>
      </c>
      <c r="C187" s="2">
        <v>0.64722222222222225</v>
      </c>
      <c r="D187" t="s">
        <v>38</v>
      </c>
      <c r="E187" t="s">
        <v>32</v>
      </c>
      <c r="F187" t="s">
        <v>33</v>
      </c>
      <c r="G187" t="s">
        <v>157</v>
      </c>
      <c r="H187" t="s">
        <v>29</v>
      </c>
      <c r="I187" t="s">
        <v>29</v>
      </c>
      <c r="J187">
        <v>7</v>
      </c>
      <c r="K187">
        <v>0</v>
      </c>
      <c r="L187">
        <v>8</v>
      </c>
      <c r="M187">
        <v>180</v>
      </c>
      <c r="N187">
        <v>163</v>
      </c>
      <c r="O187">
        <v>0</v>
      </c>
      <c r="P187">
        <v>18909</v>
      </c>
      <c r="Q187">
        <v>1.1200000000000001</v>
      </c>
      <c r="R187">
        <v>21249</v>
      </c>
      <c r="S187">
        <v>830</v>
      </c>
      <c r="T187">
        <v>159</v>
      </c>
      <c r="U187">
        <v>188</v>
      </c>
      <c r="V187">
        <v>93</v>
      </c>
      <c r="W187">
        <v>0</v>
      </c>
      <c r="X187">
        <v>17</v>
      </c>
      <c r="Y187" t="s">
        <v>497</v>
      </c>
      <c r="Z187">
        <v>1270</v>
      </c>
      <c r="AA187" t="s">
        <v>498</v>
      </c>
    </row>
    <row r="188" spans="1:27" x14ac:dyDescent="0.25">
      <c r="A188" t="s">
        <v>226</v>
      </c>
      <c r="B188" s="1">
        <v>45867</v>
      </c>
      <c r="C188" s="2">
        <v>0.75555555555555554</v>
      </c>
      <c r="D188" t="s">
        <v>38</v>
      </c>
      <c r="E188" t="s">
        <v>26</v>
      </c>
      <c r="F188" t="s">
        <v>27</v>
      </c>
      <c r="G188" t="s">
        <v>157</v>
      </c>
      <c r="H188" t="s">
        <v>29</v>
      </c>
      <c r="I188" t="s">
        <v>29</v>
      </c>
      <c r="J188">
        <v>5</v>
      </c>
      <c r="K188">
        <v>0</v>
      </c>
      <c r="L188">
        <v>1</v>
      </c>
      <c r="M188">
        <v>235</v>
      </c>
      <c r="N188">
        <v>129</v>
      </c>
      <c r="O188">
        <v>0</v>
      </c>
      <c r="P188">
        <v>694</v>
      </c>
      <c r="Q188">
        <v>1</v>
      </c>
      <c r="R188">
        <v>694</v>
      </c>
      <c r="S188">
        <v>25</v>
      </c>
      <c r="T188">
        <v>3</v>
      </c>
      <c r="U188">
        <v>6</v>
      </c>
      <c r="V188">
        <v>0</v>
      </c>
      <c r="W188">
        <v>0</v>
      </c>
      <c r="X188">
        <v>25</v>
      </c>
      <c r="Y188" t="s">
        <v>497</v>
      </c>
      <c r="Z188">
        <v>34</v>
      </c>
      <c r="AA188" t="s">
        <v>498</v>
      </c>
    </row>
    <row r="189" spans="1:27" x14ac:dyDescent="0.25">
      <c r="A189" t="s">
        <v>227</v>
      </c>
      <c r="B189" s="1">
        <v>45868</v>
      </c>
      <c r="C189" s="2">
        <v>0.46250000000000002</v>
      </c>
      <c r="D189" t="s">
        <v>25</v>
      </c>
      <c r="E189" t="s">
        <v>48</v>
      </c>
      <c r="F189" t="s">
        <v>42</v>
      </c>
      <c r="G189" t="s">
        <v>157</v>
      </c>
      <c r="H189" t="s">
        <v>29</v>
      </c>
      <c r="I189" t="s">
        <v>36</v>
      </c>
      <c r="J189">
        <v>4</v>
      </c>
      <c r="K189">
        <v>0</v>
      </c>
      <c r="L189">
        <v>1</v>
      </c>
      <c r="M189">
        <v>368</v>
      </c>
      <c r="N189">
        <v>33</v>
      </c>
      <c r="O189">
        <v>0</v>
      </c>
      <c r="P189">
        <v>4704</v>
      </c>
      <c r="Q189">
        <v>1.02</v>
      </c>
      <c r="R189">
        <v>4786</v>
      </c>
      <c r="S189">
        <v>53</v>
      </c>
      <c r="T189">
        <v>16</v>
      </c>
      <c r="U189">
        <v>20</v>
      </c>
      <c r="V189">
        <v>4</v>
      </c>
      <c r="W189">
        <v>65</v>
      </c>
      <c r="X189">
        <v>10</v>
      </c>
      <c r="Y189" t="s">
        <v>499</v>
      </c>
      <c r="Z189">
        <v>158</v>
      </c>
      <c r="AA189" t="s">
        <v>498</v>
      </c>
    </row>
    <row r="190" spans="1:27" x14ac:dyDescent="0.25">
      <c r="A190" t="s">
        <v>228</v>
      </c>
      <c r="B190" s="1">
        <v>45869</v>
      </c>
      <c r="C190" s="2">
        <v>0.5395833333333333</v>
      </c>
      <c r="D190" t="s">
        <v>25</v>
      </c>
      <c r="E190" t="s">
        <v>32</v>
      </c>
      <c r="F190" t="s">
        <v>33</v>
      </c>
      <c r="G190" t="s">
        <v>157</v>
      </c>
      <c r="H190" t="s">
        <v>29</v>
      </c>
      <c r="I190" t="s">
        <v>29</v>
      </c>
      <c r="J190">
        <v>10</v>
      </c>
      <c r="K190">
        <v>0</v>
      </c>
      <c r="L190">
        <v>5</v>
      </c>
      <c r="M190">
        <v>284</v>
      </c>
      <c r="N190">
        <v>101</v>
      </c>
      <c r="O190">
        <v>0</v>
      </c>
      <c r="P190">
        <v>5689</v>
      </c>
      <c r="Q190">
        <v>1</v>
      </c>
      <c r="R190">
        <v>5689</v>
      </c>
      <c r="S190">
        <v>266</v>
      </c>
      <c r="T190">
        <v>50</v>
      </c>
      <c r="U190">
        <v>62</v>
      </c>
      <c r="V190">
        <v>29</v>
      </c>
      <c r="W190">
        <v>0</v>
      </c>
      <c r="X190">
        <v>1</v>
      </c>
      <c r="Y190" t="s">
        <v>499</v>
      </c>
      <c r="Z190">
        <v>407</v>
      </c>
      <c r="AA190" t="s">
        <v>498</v>
      </c>
    </row>
    <row r="191" spans="1:27" x14ac:dyDescent="0.25">
      <c r="A191" t="s">
        <v>229</v>
      </c>
      <c r="B191" s="1">
        <v>45869</v>
      </c>
      <c r="C191" s="2">
        <v>0.5756944444444444</v>
      </c>
      <c r="D191" t="s">
        <v>25</v>
      </c>
      <c r="E191" t="s">
        <v>32</v>
      </c>
      <c r="F191" t="s">
        <v>45</v>
      </c>
      <c r="G191" t="s">
        <v>157</v>
      </c>
      <c r="H191" t="s">
        <v>29</v>
      </c>
      <c r="I191" t="s">
        <v>36</v>
      </c>
      <c r="J191">
        <v>10</v>
      </c>
      <c r="K191">
        <v>86</v>
      </c>
      <c r="L191">
        <v>1</v>
      </c>
      <c r="M191">
        <v>120</v>
      </c>
      <c r="N191">
        <v>190</v>
      </c>
      <c r="O191">
        <v>0</v>
      </c>
      <c r="P191">
        <v>21809</v>
      </c>
      <c r="Q191">
        <v>1.03</v>
      </c>
      <c r="R191">
        <v>22436</v>
      </c>
      <c r="S191">
        <v>700</v>
      </c>
      <c r="T191">
        <v>151</v>
      </c>
      <c r="U191">
        <v>181</v>
      </c>
      <c r="V191">
        <v>100</v>
      </c>
      <c r="W191">
        <v>663</v>
      </c>
      <c r="X191">
        <v>8</v>
      </c>
      <c r="Y191" t="s">
        <v>497</v>
      </c>
      <c r="Z191">
        <v>1795</v>
      </c>
      <c r="AA191" t="s">
        <v>498</v>
      </c>
    </row>
    <row r="192" spans="1:27" x14ac:dyDescent="0.25">
      <c r="A192" t="s">
        <v>230</v>
      </c>
      <c r="B192" s="1">
        <v>45871</v>
      </c>
      <c r="C192" s="2">
        <v>0.77569444444444446</v>
      </c>
      <c r="D192" t="s">
        <v>38</v>
      </c>
      <c r="E192" t="s">
        <v>26</v>
      </c>
      <c r="F192" t="s">
        <v>45</v>
      </c>
      <c r="G192" t="s">
        <v>157</v>
      </c>
      <c r="H192" t="s">
        <v>29</v>
      </c>
      <c r="I192" t="s">
        <v>29</v>
      </c>
      <c r="J192">
        <v>3</v>
      </c>
      <c r="K192">
        <v>21</v>
      </c>
      <c r="L192">
        <v>1</v>
      </c>
      <c r="M192">
        <v>196</v>
      </c>
      <c r="N192">
        <v>253</v>
      </c>
      <c r="O192">
        <v>0</v>
      </c>
      <c r="P192">
        <v>34326</v>
      </c>
      <c r="Q192">
        <v>1.25</v>
      </c>
      <c r="R192">
        <v>43026</v>
      </c>
      <c r="S192">
        <v>5974</v>
      </c>
      <c r="T192">
        <v>973</v>
      </c>
      <c r="U192">
        <v>1728</v>
      </c>
      <c r="V192">
        <v>154</v>
      </c>
      <c r="W192">
        <v>0</v>
      </c>
      <c r="X192">
        <v>48</v>
      </c>
      <c r="Y192" t="s">
        <v>497</v>
      </c>
      <c r="Z192">
        <v>8829</v>
      </c>
      <c r="AA192" t="s">
        <v>498</v>
      </c>
    </row>
    <row r="193" spans="1:27" x14ac:dyDescent="0.25">
      <c r="A193" t="s">
        <v>231</v>
      </c>
      <c r="B193" s="1">
        <v>45872</v>
      </c>
      <c r="C193" s="2">
        <v>0.82986111111111116</v>
      </c>
      <c r="D193" t="s">
        <v>35</v>
      </c>
      <c r="E193" t="s">
        <v>32</v>
      </c>
      <c r="F193" t="s">
        <v>27</v>
      </c>
      <c r="G193" t="s">
        <v>157</v>
      </c>
      <c r="H193" t="s">
        <v>29</v>
      </c>
      <c r="I193" t="s">
        <v>29</v>
      </c>
      <c r="J193">
        <v>10</v>
      </c>
      <c r="K193">
        <v>0</v>
      </c>
      <c r="L193">
        <v>1</v>
      </c>
      <c r="M193">
        <v>148</v>
      </c>
      <c r="N193">
        <v>208</v>
      </c>
      <c r="O193">
        <v>0</v>
      </c>
      <c r="P193">
        <v>10613</v>
      </c>
      <c r="Q193">
        <v>1.22</v>
      </c>
      <c r="R193">
        <v>12984</v>
      </c>
      <c r="S193">
        <v>347</v>
      </c>
      <c r="T193">
        <v>72</v>
      </c>
      <c r="U193">
        <v>78</v>
      </c>
      <c r="V193">
        <v>43</v>
      </c>
      <c r="W193">
        <v>0</v>
      </c>
      <c r="X193">
        <v>17</v>
      </c>
      <c r="Y193" t="s">
        <v>497</v>
      </c>
      <c r="Z193">
        <v>540</v>
      </c>
      <c r="AA193" t="s">
        <v>498</v>
      </c>
    </row>
    <row r="194" spans="1:27" x14ac:dyDescent="0.25">
      <c r="A194" t="s">
        <v>232</v>
      </c>
      <c r="B194" s="1">
        <v>45874</v>
      </c>
      <c r="C194" s="2">
        <v>0.73958333333333337</v>
      </c>
      <c r="D194" t="s">
        <v>38</v>
      </c>
      <c r="E194" t="s">
        <v>32</v>
      </c>
      <c r="F194" t="s">
        <v>27</v>
      </c>
      <c r="G194" t="s">
        <v>157</v>
      </c>
      <c r="H194" t="s">
        <v>29</v>
      </c>
      <c r="I194" t="s">
        <v>36</v>
      </c>
      <c r="J194">
        <v>12</v>
      </c>
      <c r="K194">
        <v>0</v>
      </c>
      <c r="L194">
        <v>1</v>
      </c>
      <c r="M194">
        <v>157</v>
      </c>
      <c r="N194">
        <v>121</v>
      </c>
      <c r="O194">
        <v>0</v>
      </c>
      <c r="P194">
        <v>14204</v>
      </c>
      <c r="Q194">
        <v>1</v>
      </c>
      <c r="R194">
        <v>14204</v>
      </c>
      <c r="S194">
        <v>690</v>
      </c>
      <c r="T194">
        <v>112</v>
      </c>
      <c r="U194">
        <v>148</v>
      </c>
      <c r="V194">
        <v>76</v>
      </c>
      <c r="W194">
        <v>285</v>
      </c>
      <c r="X194">
        <v>15</v>
      </c>
      <c r="Y194" t="s">
        <v>497</v>
      </c>
      <c r="Z194">
        <v>1311</v>
      </c>
      <c r="AA194" t="s">
        <v>498</v>
      </c>
    </row>
    <row r="195" spans="1:27" x14ac:dyDescent="0.25">
      <c r="A195" t="s">
        <v>233</v>
      </c>
      <c r="B195" s="1">
        <v>45877</v>
      </c>
      <c r="C195" s="2">
        <v>0.7944444444444444</v>
      </c>
      <c r="D195" t="s">
        <v>35</v>
      </c>
      <c r="E195" t="s">
        <v>39</v>
      </c>
      <c r="F195" t="s">
        <v>42</v>
      </c>
      <c r="G195" t="s">
        <v>157</v>
      </c>
      <c r="H195" t="s">
        <v>36</v>
      </c>
      <c r="I195" t="s">
        <v>36</v>
      </c>
      <c r="J195">
        <v>3</v>
      </c>
      <c r="K195">
        <v>0</v>
      </c>
      <c r="L195">
        <v>1</v>
      </c>
      <c r="M195">
        <v>433</v>
      </c>
      <c r="N195">
        <v>112</v>
      </c>
      <c r="O195">
        <v>534</v>
      </c>
      <c r="P195">
        <v>19276</v>
      </c>
      <c r="Q195">
        <v>1.8</v>
      </c>
      <c r="R195">
        <v>34750</v>
      </c>
      <c r="S195">
        <v>862</v>
      </c>
      <c r="T195">
        <v>257</v>
      </c>
      <c r="U195">
        <v>360</v>
      </c>
      <c r="V195">
        <v>0</v>
      </c>
      <c r="W195">
        <v>579</v>
      </c>
      <c r="X195">
        <v>4</v>
      </c>
      <c r="Y195" t="s">
        <v>499</v>
      </c>
      <c r="Z195">
        <v>2058</v>
      </c>
      <c r="AA195" t="s">
        <v>498</v>
      </c>
    </row>
    <row r="196" spans="1:27" x14ac:dyDescent="0.25">
      <c r="A196" t="s">
        <v>234</v>
      </c>
      <c r="B196" s="1">
        <v>45878</v>
      </c>
      <c r="C196" s="2">
        <v>0.62916666666666665</v>
      </c>
      <c r="D196" t="s">
        <v>38</v>
      </c>
      <c r="E196" t="s">
        <v>48</v>
      </c>
      <c r="F196" t="s">
        <v>33</v>
      </c>
      <c r="G196" t="s">
        <v>157</v>
      </c>
      <c r="H196" t="s">
        <v>29</v>
      </c>
      <c r="I196" t="s">
        <v>29</v>
      </c>
      <c r="J196">
        <v>4</v>
      </c>
      <c r="K196">
        <v>0</v>
      </c>
      <c r="L196">
        <v>8</v>
      </c>
      <c r="M196">
        <v>169</v>
      </c>
      <c r="N196">
        <v>201</v>
      </c>
      <c r="O196">
        <v>0</v>
      </c>
      <c r="P196">
        <v>12911</v>
      </c>
      <c r="Q196">
        <v>1.1100000000000001</v>
      </c>
      <c r="R196">
        <v>14306</v>
      </c>
      <c r="S196">
        <v>228</v>
      </c>
      <c r="T196">
        <v>55</v>
      </c>
      <c r="U196">
        <v>78</v>
      </c>
      <c r="V196">
        <v>17</v>
      </c>
      <c r="W196">
        <v>0</v>
      </c>
      <c r="X196">
        <v>7</v>
      </c>
      <c r="Y196" t="s">
        <v>497</v>
      </c>
      <c r="Z196">
        <v>378</v>
      </c>
      <c r="AA196" t="s">
        <v>498</v>
      </c>
    </row>
    <row r="197" spans="1:27" x14ac:dyDescent="0.25">
      <c r="A197" t="s">
        <v>235</v>
      </c>
      <c r="B197" s="1">
        <v>45879</v>
      </c>
      <c r="C197" s="2">
        <v>0.57222222222222219</v>
      </c>
      <c r="D197" t="s">
        <v>25</v>
      </c>
      <c r="E197" t="s">
        <v>39</v>
      </c>
      <c r="F197" t="s">
        <v>33</v>
      </c>
      <c r="G197" t="s">
        <v>157</v>
      </c>
      <c r="H197" t="s">
        <v>29</v>
      </c>
      <c r="I197" t="s">
        <v>36</v>
      </c>
      <c r="J197">
        <v>4</v>
      </c>
      <c r="K197">
        <v>0</v>
      </c>
      <c r="L197">
        <v>5</v>
      </c>
      <c r="M197">
        <v>101</v>
      </c>
      <c r="N197">
        <v>161</v>
      </c>
      <c r="O197">
        <v>0</v>
      </c>
      <c r="P197">
        <v>7187</v>
      </c>
      <c r="Q197">
        <v>1</v>
      </c>
      <c r="R197">
        <v>7187</v>
      </c>
      <c r="S197">
        <v>50</v>
      </c>
      <c r="T197">
        <v>17</v>
      </c>
      <c r="U197">
        <v>24</v>
      </c>
      <c r="V197">
        <v>0</v>
      </c>
      <c r="W197">
        <v>157</v>
      </c>
      <c r="X197">
        <v>1</v>
      </c>
      <c r="Y197" t="s">
        <v>497</v>
      </c>
      <c r="Z197">
        <v>248</v>
      </c>
      <c r="AA197" t="s">
        <v>498</v>
      </c>
    </row>
    <row r="198" spans="1:27" x14ac:dyDescent="0.25">
      <c r="A198" t="s">
        <v>236</v>
      </c>
      <c r="B198" s="1">
        <v>45880</v>
      </c>
      <c r="C198" s="2">
        <v>0.90972222222222221</v>
      </c>
      <c r="D198" t="s">
        <v>35</v>
      </c>
      <c r="E198" t="s">
        <v>32</v>
      </c>
      <c r="F198" t="s">
        <v>45</v>
      </c>
      <c r="G198" t="s">
        <v>157</v>
      </c>
      <c r="H198" t="s">
        <v>29</v>
      </c>
      <c r="I198" t="s">
        <v>29</v>
      </c>
      <c r="J198">
        <v>7</v>
      </c>
      <c r="K198">
        <v>75</v>
      </c>
      <c r="L198">
        <v>1</v>
      </c>
      <c r="M198">
        <v>164</v>
      </c>
      <c r="N198">
        <v>139</v>
      </c>
      <c r="O198">
        <v>0</v>
      </c>
      <c r="P198">
        <v>33568</v>
      </c>
      <c r="Q198">
        <v>1.28</v>
      </c>
      <c r="R198">
        <v>43131</v>
      </c>
      <c r="S198">
        <v>1821</v>
      </c>
      <c r="T198">
        <v>409</v>
      </c>
      <c r="U198">
        <v>466</v>
      </c>
      <c r="V198">
        <v>235</v>
      </c>
      <c r="W198">
        <v>0</v>
      </c>
      <c r="X198">
        <v>54</v>
      </c>
      <c r="Y198" t="s">
        <v>497</v>
      </c>
      <c r="Z198">
        <v>2931</v>
      </c>
      <c r="AA198" t="s">
        <v>498</v>
      </c>
    </row>
    <row r="199" spans="1:27" x14ac:dyDescent="0.25">
      <c r="A199" t="s">
        <v>237</v>
      </c>
      <c r="B199" s="1">
        <v>45882</v>
      </c>
      <c r="C199" s="2">
        <v>0.44444444444444442</v>
      </c>
      <c r="D199" t="s">
        <v>31</v>
      </c>
      <c r="E199" t="s">
        <v>48</v>
      </c>
      <c r="F199" t="s">
        <v>42</v>
      </c>
      <c r="G199" t="s">
        <v>157</v>
      </c>
      <c r="H199" t="s">
        <v>36</v>
      </c>
      <c r="I199" t="s">
        <v>29</v>
      </c>
      <c r="J199">
        <v>3</v>
      </c>
      <c r="K199">
        <v>0</v>
      </c>
      <c r="L199">
        <v>1</v>
      </c>
      <c r="M199">
        <v>342</v>
      </c>
      <c r="N199">
        <v>94</v>
      </c>
      <c r="O199">
        <v>744</v>
      </c>
      <c r="P199">
        <v>20112</v>
      </c>
      <c r="Q199">
        <v>1.49</v>
      </c>
      <c r="R199">
        <v>29960</v>
      </c>
      <c r="S199">
        <v>253</v>
      </c>
      <c r="T199">
        <v>73</v>
      </c>
      <c r="U199">
        <v>87</v>
      </c>
      <c r="V199">
        <v>20</v>
      </c>
      <c r="W199">
        <v>0</v>
      </c>
      <c r="X199">
        <v>6</v>
      </c>
      <c r="Y199" t="s">
        <v>499</v>
      </c>
      <c r="Z199">
        <v>433</v>
      </c>
      <c r="AA199" t="s">
        <v>498</v>
      </c>
    </row>
    <row r="200" spans="1:27" x14ac:dyDescent="0.25">
      <c r="A200" t="s">
        <v>238</v>
      </c>
      <c r="B200" s="1">
        <v>45882</v>
      </c>
      <c r="C200" s="2">
        <v>0.47013888888888888</v>
      </c>
      <c r="D200" t="s">
        <v>25</v>
      </c>
      <c r="E200" t="s">
        <v>39</v>
      </c>
      <c r="F200" t="s">
        <v>27</v>
      </c>
      <c r="G200" t="s">
        <v>157</v>
      </c>
      <c r="H200" t="s">
        <v>29</v>
      </c>
      <c r="I200" t="s">
        <v>36</v>
      </c>
      <c r="J200">
        <v>3</v>
      </c>
      <c r="K200">
        <v>0</v>
      </c>
      <c r="L200">
        <v>1</v>
      </c>
      <c r="M200">
        <v>125</v>
      </c>
      <c r="N200">
        <v>165</v>
      </c>
      <c r="O200">
        <v>0</v>
      </c>
      <c r="P200">
        <v>10643</v>
      </c>
      <c r="Q200">
        <v>1</v>
      </c>
      <c r="R200">
        <v>10643</v>
      </c>
      <c r="S200">
        <v>114</v>
      </c>
      <c r="T200">
        <v>42</v>
      </c>
      <c r="U200">
        <v>57</v>
      </c>
      <c r="V200">
        <v>0</v>
      </c>
      <c r="W200">
        <v>162</v>
      </c>
      <c r="X200">
        <v>9</v>
      </c>
      <c r="Y200" t="s">
        <v>497</v>
      </c>
      <c r="Z200">
        <v>375</v>
      </c>
      <c r="AA200" t="s">
        <v>498</v>
      </c>
    </row>
    <row r="201" spans="1:27" x14ac:dyDescent="0.25">
      <c r="A201" t="s">
        <v>239</v>
      </c>
      <c r="B201" s="1">
        <v>45885</v>
      </c>
      <c r="C201" s="2">
        <v>0.78611111111111109</v>
      </c>
      <c r="D201" t="s">
        <v>38</v>
      </c>
      <c r="E201" t="s">
        <v>39</v>
      </c>
      <c r="F201" t="s">
        <v>45</v>
      </c>
      <c r="G201" t="s">
        <v>157</v>
      </c>
      <c r="H201" t="s">
        <v>36</v>
      </c>
      <c r="I201" t="s">
        <v>36</v>
      </c>
      <c r="J201">
        <v>1</v>
      </c>
      <c r="K201">
        <v>133</v>
      </c>
      <c r="L201">
        <v>1</v>
      </c>
      <c r="M201">
        <v>181</v>
      </c>
      <c r="N201">
        <v>127</v>
      </c>
      <c r="O201">
        <v>528</v>
      </c>
      <c r="P201">
        <v>18419</v>
      </c>
      <c r="Q201">
        <v>1.58</v>
      </c>
      <c r="R201">
        <v>29128</v>
      </c>
      <c r="S201">
        <v>760</v>
      </c>
      <c r="T201">
        <v>306</v>
      </c>
      <c r="U201">
        <v>368</v>
      </c>
      <c r="V201">
        <v>0</v>
      </c>
      <c r="W201">
        <v>841</v>
      </c>
      <c r="X201">
        <v>3</v>
      </c>
      <c r="Y201" t="s">
        <v>497</v>
      </c>
      <c r="Z201">
        <v>2275</v>
      </c>
      <c r="AA201" t="s">
        <v>498</v>
      </c>
    </row>
    <row r="202" spans="1:27" x14ac:dyDescent="0.25">
      <c r="A202" t="s">
        <v>240</v>
      </c>
      <c r="B202" s="1">
        <v>45886</v>
      </c>
      <c r="C202" s="2">
        <v>0.49861111111111112</v>
      </c>
      <c r="D202" t="s">
        <v>25</v>
      </c>
      <c r="E202" t="s">
        <v>48</v>
      </c>
      <c r="F202" t="s">
        <v>42</v>
      </c>
      <c r="G202" t="s">
        <v>157</v>
      </c>
      <c r="H202" t="s">
        <v>29</v>
      </c>
      <c r="I202" t="s">
        <v>29</v>
      </c>
      <c r="J202">
        <v>3</v>
      </c>
      <c r="K202">
        <v>0</v>
      </c>
      <c r="L202">
        <v>1</v>
      </c>
      <c r="M202">
        <v>461</v>
      </c>
      <c r="N202">
        <v>100</v>
      </c>
      <c r="O202">
        <v>0</v>
      </c>
      <c r="P202">
        <v>9374</v>
      </c>
      <c r="Q202">
        <v>1.1200000000000001</v>
      </c>
      <c r="R202">
        <v>10452</v>
      </c>
      <c r="S202">
        <v>156</v>
      </c>
      <c r="T202">
        <v>33</v>
      </c>
      <c r="U202">
        <v>50</v>
      </c>
      <c r="V202">
        <v>14</v>
      </c>
      <c r="W202">
        <v>0</v>
      </c>
      <c r="X202">
        <v>11</v>
      </c>
      <c r="Y202" t="s">
        <v>499</v>
      </c>
      <c r="Z202">
        <v>253</v>
      </c>
      <c r="AA202" t="s">
        <v>498</v>
      </c>
    </row>
    <row r="203" spans="1:27" x14ac:dyDescent="0.25">
      <c r="A203" t="s">
        <v>241</v>
      </c>
      <c r="B203" s="1">
        <v>45886</v>
      </c>
      <c r="C203" s="2">
        <v>0.52083333333333337</v>
      </c>
      <c r="D203" t="s">
        <v>25</v>
      </c>
      <c r="E203" t="s">
        <v>48</v>
      </c>
      <c r="F203" t="s">
        <v>42</v>
      </c>
      <c r="G203" t="s">
        <v>157</v>
      </c>
      <c r="H203" t="s">
        <v>36</v>
      </c>
      <c r="I203" t="s">
        <v>29</v>
      </c>
      <c r="J203">
        <v>5</v>
      </c>
      <c r="K203">
        <v>0</v>
      </c>
      <c r="L203">
        <v>1</v>
      </c>
      <c r="M203">
        <v>499</v>
      </c>
      <c r="N203">
        <v>55</v>
      </c>
      <c r="O203">
        <v>663</v>
      </c>
      <c r="P203">
        <v>17569</v>
      </c>
      <c r="Q203">
        <v>1.72</v>
      </c>
      <c r="R203">
        <v>30153</v>
      </c>
      <c r="S203">
        <v>559</v>
      </c>
      <c r="T203">
        <v>142</v>
      </c>
      <c r="U203">
        <v>166</v>
      </c>
      <c r="V203">
        <v>37</v>
      </c>
      <c r="W203">
        <v>0</v>
      </c>
      <c r="X203">
        <v>4</v>
      </c>
      <c r="Y203" t="s">
        <v>499</v>
      </c>
      <c r="Z203">
        <v>904</v>
      </c>
      <c r="AA203" t="s">
        <v>498</v>
      </c>
    </row>
    <row r="204" spans="1:27" x14ac:dyDescent="0.25">
      <c r="A204" t="s">
        <v>242</v>
      </c>
      <c r="B204" s="1">
        <v>45887</v>
      </c>
      <c r="C204" s="2">
        <v>0.88194444444444442</v>
      </c>
      <c r="D204" t="s">
        <v>35</v>
      </c>
      <c r="E204" t="s">
        <v>39</v>
      </c>
      <c r="F204" t="s">
        <v>33</v>
      </c>
      <c r="G204" t="s">
        <v>157</v>
      </c>
      <c r="H204" t="s">
        <v>29</v>
      </c>
      <c r="I204" t="s">
        <v>36</v>
      </c>
      <c r="J204">
        <v>1</v>
      </c>
      <c r="K204">
        <v>0</v>
      </c>
      <c r="L204">
        <v>5</v>
      </c>
      <c r="M204">
        <v>239</v>
      </c>
      <c r="N204">
        <v>108</v>
      </c>
      <c r="O204">
        <v>0</v>
      </c>
      <c r="P204">
        <v>5008</v>
      </c>
      <c r="Q204">
        <v>1.2</v>
      </c>
      <c r="R204">
        <v>5997</v>
      </c>
      <c r="S204">
        <v>110</v>
      </c>
      <c r="T204">
        <v>38</v>
      </c>
      <c r="U204">
        <v>51</v>
      </c>
      <c r="V204">
        <v>0</v>
      </c>
      <c r="W204">
        <v>208</v>
      </c>
      <c r="X204">
        <v>5</v>
      </c>
      <c r="Y204" t="s">
        <v>497</v>
      </c>
      <c r="Z204">
        <v>407</v>
      </c>
      <c r="AA204" t="s">
        <v>498</v>
      </c>
    </row>
    <row r="205" spans="1:27" x14ac:dyDescent="0.25">
      <c r="A205" t="s">
        <v>243</v>
      </c>
      <c r="B205" s="1">
        <v>45890</v>
      </c>
      <c r="C205" s="2">
        <v>0.78263888888888888</v>
      </c>
      <c r="D205" t="s">
        <v>38</v>
      </c>
      <c r="E205" t="s">
        <v>32</v>
      </c>
      <c r="F205" t="s">
        <v>45</v>
      </c>
      <c r="G205" t="s">
        <v>157</v>
      </c>
      <c r="H205" t="s">
        <v>36</v>
      </c>
      <c r="I205" t="s">
        <v>36</v>
      </c>
      <c r="J205">
        <v>15</v>
      </c>
      <c r="K205">
        <v>54</v>
      </c>
      <c r="L205">
        <v>1</v>
      </c>
      <c r="M205">
        <v>193</v>
      </c>
      <c r="N205">
        <v>126</v>
      </c>
      <c r="O205">
        <v>237</v>
      </c>
      <c r="P205">
        <v>33559</v>
      </c>
      <c r="Q205">
        <v>1.68</v>
      </c>
      <c r="R205">
        <v>56265</v>
      </c>
      <c r="S205">
        <v>2369</v>
      </c>
      <c r="T205">
        <v>473</v>
      </c>
      <c r="U205">
        <v>523</v>
      </c>
      <c r="V205">
        <v>298</v>
      </c>
      <c r="W205">
        <v>1408</v>
      </c>
      <c r="X205">
        <v>7</v>
      </c>
      <c r="Y205" t="s">
        <v>497</v>
      </c>
      <c r="Z205">
        <v>5071</v>
      </c>
      <c r="AA205" t="s">
        <v>498</v>
      </c>
    </row>
    <row r="206" spans="1:27" x14ac:dyDescent="0.25">
      <c r="A206" t="s">
        <v>244</v>
      </c>
      <c r="B206" s="1">
        <v>45890</v>
      </c>
      <c r="C206" s="2">
        <v>0.7895833333333333</v>
      </c>
      <c r="D206" t="s">
        <v>38</v>
      </c>
      <c r="E206" t="s">
        <v>32</v>
      </c>
      <c r="F206" t="s">
        <v>33</v>
      </c>
      <c r="G206" t="s">
        <v>157</v>
      </c>
      <c r="H206" t="s">
        <v>36</v>
      </c>
      <c r="I206" t="s">
        <v>36</v>
      </c>
      <c r="J206">
        <v>14</v>
      </c>
      <c r="K206">
        <v>0</v>
      </c>
      <c r="L206">
        <v>6</v>
      </c>
      <c r="M206">
        <v>214</v>
      </c>
      <c r="N206">
        <v>150</v>
      </c>
      <c r="O206">
        <v>467</v>
      </c>
      <c r="P206">
        <v>54330</v>
      </c>
      <c r="Q206">
        <v>1.68</v>
      </c>
      <c r="R206">
        <v>91459</v>
      </c>
      <c r="S206">
        <v>4310</v>
      </c>
      <c r="T206">
        <v>952</v>
      </c>
      <c r="U206">
        <v>983</v>
      </c>
      <c r="V206">
        <v>481</v>
      </c>
      <c r="W206">
        <v>2619</v>
      </c>
      <c r="X206">
        <v>37</v>
      </c>
      <c r="Y206" t="s">
        <v>497</v>
      </c>
      <c r="Z206">
        <v>9345</v>
      </c>
      <c r="AA206" t="s">
        <v>498</v>
      </c>
    </row>
    <row r="207" spans="1:27" x14ac:dyDescent="0.25">
      <c r="A207" t="s">
        <v>245</v>
      </c>
      <c r="B207" s="1">
        <v>45891</v>
      </c>
      <c r="C207" s="2">
        <v>0.49513888888888891</v>
      </c>
      <c r="D207" t="s">
        <v>25</v>
      </c>
      <c r="E207" t="s">
        <v>32</v>
      </c>
      <c r="F207" t="s">
        <v>27</v>
      </c>
      <c r="G207" t="s">
        <v>157</v>
      </c>
      <c r="H207" t="s">
        <v>29</v>
      </c>
      <c r="I207" t="s">
        <v>29</v>
      </c>
      <c r="J207">
        <v>12</v>
      </c>
      <c r="K207">
        <v>0</v>
      </c>
      <c r="L207">
        <v>1</v>
      </c>
      <c r="M207">
        <v>89</v>
      </c>
      <c r="N207">
        <v>119</v>
      </c>
      <c r="O207">
        <v>0</v>
      </c>
      <c r="P207">
        <v>10838</v>
      </c>
      <c r="Q207">
        <v>1.1200000000000001</v>
      </c>
      <c r="R207">
        <v>12144</v>
      </c>
      <c r="S207">
        <v>480</v>
      </c>
      <c r="T207">
        <v>83</v>
      </c>
      <c r="U207">
        <v>97</v>
      </c>
      <c r="V207">
        <v>59</v>
      </c>
      <c r="W207">
        <v>0</v>
      </c>
      <c r="X207">
        <v>11</v>
      </c>
      <c r="Y207" t="s">
        <v>501</v>
      </c>
      <c r="Z207">
        <v>719</v>
      </c>
      <c r="AA207" t="s">
        <v>498</v>
      </c>
    </row>
    <row r="208" spans="1:27" x14ac:dyDescent="0.25">
      <c r="A208" t="s">
        <v>246</v>
      </c>
      <c r="B208" s="1">
        <v>45891</v>
      </c>
      <c r="C208" s="2">
        <v>0.83402777777777781</v>
      </c>
      <c r="D208" t="s">
        <v>35</v>
      </c>
      <c r="E208" t="s">
        <v>32</v>
      </c>
      <c r="F208" t="s">
        <v>33</v>
      </c>
      <c r="G208" t="s">
        <v>157</v>
      </c>
      <c r="H208" t="s">
        <v>29</v>
      </c>
      <c r="I208" t="s">
        <v>36</v>
      </c>
      <c r="J208">
        <v>9</v>
      </c>
      <c r="K208">
        <v>0</v>
      </c>
      <c r="L208">
        <v>9</v>
      </c>
      <c r="M208">
        <v>229</v>
      </c>
      <c r="N208">
        <v>104</v>
      </c>
      <c r="O208">
        <v>0</v>
      </c>
      <c r="P208">
        <v>17905</v>
      </c>
      <c r="Q208">
        <v>1.1599999999999999</v>
      </c>
      <c r="R208">
        <v>20828</v>
      </c>
      <c r="S208">
        <v>1194</v>
      </c>
      <c r="T208">
        <v>232</v>
      </c>
      <c r="U208">
        <v>256</v>
      </c>
      <c r="V208">
        <v>166</v>
      </c>
      <c r="W208">
        <v>737</v>
      </c>
      <c r="X208">
        <v>3</v>
      </c>
      <c r="Y208" t="s">
        <v>497</v>
      </c>
      <c r="Z208">
        <v>2585</v>
      </c>
      <c r="AA208" t="s">
        <v>498</v>
      </c>
    </row>
    <row r="209" spans="1:27" x14ac:dyDescent="0.25">
      <c r="A209" t="s">
        <v>247</v>
      </c>
      <c r="B209" s="1">
        <v>45892</v>
      </c>
      <c r="C209" s="2">
        <v>0.91805555555555551</v>
      </c>
      <c r="D209" t="s">
        <v>35</v>
      </c>
      <c r="E209" t="s">
        <v>32</v>
      </c>
      <c r="F209" t="s">
        <v>45</v>
      </c>
      <c r="G209" t="s">
        <v>157</v>
      </c>
      <c r="H209" t="s">
        <v>29</v>
      </c>
      <c r="I209" t="s">
        <v>36</v>
      </c>
      <c r="J209">
        <v>12</v>
      </c>
      <c r="K209">
        <v>77</v>
      </c>
      <c r="L209">
        <v>1</v>
      </c>
      <c r="M209">
        <v>168</v>
      </c>
      <c r="N209">
        <v>99</v>
      </c>
      <c r="O209">
        <v>0</v>
      </c>
      <c r="P209">
        <v>12020</v>
      </c>
      <c r="Q209">
        <v>1.0900000000000001</v>
      </c>
      <c r="R209">
        <v>13161</v>
      </c>
      <c r="S209">
        <v>532</v>
      </c>
      <c r="T209">
        <v>92</v>
      </c>
      <c r="U209">
        <v>116</v>
      </c>
      <c r="V209">
        <v>58</v>
      </c>
      <c r="W209">
        <v>262</v>
      </c>
      <c r="X209">
        <v>5</v>
      </c>
      <c r="Y209" t="s">
        <v>497</v>
      </c>
      <c r="Z209">
        <v>1060</v>
      </c>
      <c r="AA209" t="s">
        <v>498</v>
      </c>
    </row>
    <row r="210" spans="1:27" x14ac:dyDescent="0.25">
      <c r="A210" t="s">
        <v>248</v>
      </c>
      <c r="B210" s="1">
        <v>45894</v>
      </c>
      <c r="C210" s="2">
        <v>0.52708333333333335</v>
      </c>
      <c r="D210" t="s">
        <v>25</v>
      </c>
      <c r="E210" t="s">
        <v>48</v>
      </c>
      <c r="F210" t="s">
        <v>45</v>
      </c>
      <c r="G210" t="s">
        <v>157</v>
      </c>
      <c r="H210" t="s">
        <v>36</v>
      </c>
      <c r="I210" t="s">
        <v>29</v>
      </c>
      <c r="J210">
        <v>2</v>
      </c>
      <c r="K210">
        <v>170</v>
      </c>
      <c r="L210">
        <v>1</v>
      </c>
      <c r="M210">
        <v>168</v>
      </c>
      <c r="N210">
        <v>109</v>
      </c>
      <c r="O210">
        <v>396</v>
      </c>
      <c r="P210">
        <v>28710</v>
      </c>
      <c r="Q210">
        <v>1.52</v>
      </c>
      <c r="R210">
        <v>43697</v>
      </c>
      <c r="S210">
        <v>698</v>
      </c>
      <c r="T210">
        <v>166</v>
      </c>
      <c r="U210">
        <v>207</v>
      </c>
      <c r="V210">
        <v>61</v>
      </c>
      <c r="W210">
        <v>0</v>
      </c>
      <c r="X210">
        <v>25</v>
      </c>
      <c r="Y210" t="s">
        <v>497</v>
      </c>
      <c r="Z210">
        <v>1132</v>
      </c>
      <c r="AA210" t="s">
        <v>498</v>
      </c>
    </row>
    <row r="211" spans="1:27" x14ac:dyDescent="0.25">
      <c r="A211" t="s">
        <v>249</v>
      </c>
      <c r="B211" s="1">
        <v>45896</v>
      </c>
      <c r="C211" s="2">
        <v>0.30208333333333331</v>
      </c>
      <c r="D211" t="s">
        <v>31</v>
      </c>
      <c r="E211" t="s">
        <v>32</v>
      </c>
      <c r="F211" t="s">
        <v>27</v>
      </c>
      <c r="G211" t="s">
        <v>157</v>
      </c>
      <c r="H211" t="s">
        <v>36</v>
      </c>
      <c r="I211" t="s">
        <v>29</v>
      </c>
      <c r="J211">
        <v>9</v>
      </c>
      <c r="K211">
        <v>0</v>
      </c>
      <c r="L211">
        <v>1</v>
      </c>
      <c r="M211">
        <v>109</v>
      </c>
      <c r="N211">
        <v>130</v>
      </c>
      <c r="O211">
        <v>233</v>
      </c>
      <c r="P211">
        <v>39945</v>
      </c>
      <c r="Q211">
        <v>1.53</v>
      </c>
      <c r="R211">
        <v>61148</v>
      </c>
      <c r="S211">
        <v>1806</v>
      </c>
      <c r="T211">
        <v>340</v>
      </c>
      <c r="U211">
        <v>413</v>
      </c>
      <c r="V211">
        <v>193</v>
      </c>
      <c r="W211">
        <v>0</v>
      </c>
      <c r="X211">
        <v>6</v>
      </c>
      <c r="Y211" t="s">
        <v>497</v>
      </c>
      <c r="Z211">
        <v>2752</v>
      </c>
      <c r="AA211" t="s">
        <v>498</v>
      </c>
    </row>
    <row r="212" spans="1:27" x14ac:dyDescent="0.25">
      <c r="A212" t="s">
        <v>250</v>
      </c>
      <c r="B212" s="1">
        <v>45897</v>
      </c>
      <c r="C212" s="2">
        <v>0.86944444444444446</v>
      </c>
      <c r="D212" t="s">
        <v>35</v>
      </c>
      <c r="E212" t="s">
        <v>39</v>
      </c>
      <c r="F212" t="s">
        <v>42</v>
      </c>
      <c r="G212" t="s">
        <v>157</v>
      </c>
      <c r="H212" t="s">
        <v>29</v>
      </c>
      <c r="I212" t="s">
        <v>29</v>
      </c>
      <c r="J212">
        <v>2</v>
      </c>
      <c r="K212">
        <v>0</v>
      </c>
      <c r="L212">
        <v>1</v>
      </c>
      <c r="M212">
        <v>310</v>
      </c>
      <c r="N212">
        <v>35</v>
      </c>
      <c r="O212">
        <v>0</v>
      </c>
      <c r="P212">
        <v>11179</v>
      </c>
      <c r="Q212">
        <v>1</v>
      </c>
      <c r="R212">
        <v>11179</v>
      </c>
      <c r="S212">
        <v>265</v>
      </c>
      <c r="T212">
        <v>88</v>
      </c>
      <c r="U212">
        <v>119</v>
      </c>
      <c r="V212">
        <v>0</v>
      </c>
      <c r="W212">
        <v>0</v>
      </c>
      <c r="X212">
        <v>3</v>
      </c>
      <c r="Y212" t="s">
        <v>499</v>
      </c>
      <c r="Z212">
        <v>472</v>
      </c>
      <c r="AA212" t="s">
        <v>498</v>
      </c>
    </row>
    <row r="213" spans="1:27" x14ac:dyDescent="0.25">
      <c r="A213" t="s">
        <v>251</v>
      </c>
      <c r="B213" s="1">
        <v>45898</v>
      </c>
      <c r="C213" s="2">
        <v>0.49236111111111114</v>
      </c>
      <c r="D213" t="s">
        <v>25</v>
      </c>
      <c r="E213" t="s">
        <v>26</v>
      </c>
      <c r="F213" t="s">
        <v>45</v>
      </c>
      <c r="G213" t="s">
        <v>157</v>
      </c>
      <c r="H213" t="s">
        <v>29</v>
      </c>
      <c r="I213" t="s">
        <v>36</v>
      </c>
      <c r="J213">
        <v>4</v>
      </c>
      <c r="K213">
        <v>40</v>
      </c>
      <c r="L213">
        <v>1</v>
      </c>
      <c r="M213">
        <v>61</v>
      </c>
      <c r="N213">
        <v>115</v>
      </c>
      <c r="O213">
        <v>0</v>
      </c>
      <c r="P213">
        <v>23496</v>
      </c>
      <c r="Q213">
        <v>1.7</v>
      </c>
      <c r="R213">
        <v>39951</v>
      </c>
      <c r="S213">
        <v>4453</v>
      </c>
      <c r="T213">
        <v>705</v>
      </c>
      <c r="U213">
        <v>1281</v>
      </c>
      <c r="V213">
        <v>130</v>
      </c>
      <c r="W213">
        <v>1183</v>
      </c>
      <c r="X213">
        <v>4</v>
      </c>
      <c r="Y213" t="s">
        <v>501</v>
      </c>
      <c r="Z213">
        <v>7752</v>
      </c>
      <c r="AA213" t="s">
        <v>498</v>
      </c>
    </row>
    <row r="214" spans="1:27" x14ac:dyDescent="0.25">
      <c r="A214" t="s">
        <v>252</v>
      </c>
      <c r="B214" s="1">
        <v>45899</v>
      </c>
      <c r="C214" s="2">
        <v>0.83263888888888893</v>
      </c>
      <c r="D214" t="s">
        <v>35</v>
      </c>
      <c r="E214" t="s">
        <v>39</v>
      </c>
      <c r="F214" t="s">
        <v>27</v>
      </c>
      <c r="G214" t="s">
        <v>157</v>
      </c>
      <c r="H214" t="s">
        <v>36</v>
      </c>
      <c r="I214" t="s">
        <v>29</v>
      </c>
      <c r="J214">
        <v>4</v>
      </c>
      <c r="K214">
        <v>0</v>
      </c>
      <c r="L214">
        <v>1</v>
      </c>
      <c r="M214">
        <v>104</v>
      </c>
      <c r="N214">
        <v>184</v>
      </c>
      <c r="O214">
        <v>468</v>
      </c>
      <c r="P214">
        <v>32737</v>
      </c>
      <c r="Q214">
        <v>1.99</v>
      </c>
      <c r="R214">
        <v>64994</v>
      </c>
      <c r="S214">
        <v>1242</v>
      </c>
      <c r="T214">
        <v>370</v>
      </c>
      <c r="U214">
        <v>580</v>
      </c>
      <c r="V214">
        <v>0</v>
      </c>
      <c r="W214">
        <v>0</v>
      </c>
      <c r="X214">
        <v>20</v>
      </c>
      <c r="Y214" t="s">
        <v>497</v>
      </c>
      <c r="Z214">
        <v>2192</v>
      </c>
      <c r="AA214" t="s">
        <v>498</v>
      </c>
    </row>
    <row r="215" spans="1:27" x14ac:dyDescent="0.25">
      <c r="A215" t="s">
        <v>253</v>
      </c>
      <c r="B215" s="1">
        <v>45901</v>
      </c>
      <c r="C215" s="2">
        <v>0.46527777777777779</v>
      </c>
      <c r="D215" t="s">
        <v>25</v>
      </c>
      <c r="E215" t="s">
        <v>32</v>
      </c>
      <c r="F215" t="s">
        <v>45</v>
      </c>
      <c r="G215" t="s">
        <v>254</v>
      </c>
      <c r="H215" t="s">
        <v>29</v>
      </c>
      <c r="I215" t="s">
        <v>29</v>
      </c>
      <c r="J215">
        <v>11</v>
      </c>
      <c r="K215">
        <v>90</v>
      </c>
      <c r="L215">
        <v>1</v>
      </c>
      <c r="M215">
        <v>101</v>
      </c>
      <c r="N215">
        <v>131</v>
      </c>
      <c r="O215">
        <v>0</v>
      </c>
      <c r="P215">
        <v>8237</v>
      </c>
      <c r="Q215">
        <v>1.32</v>
      </c>
      <c r="R215">
        <v>10842</v>
      </c>
      <c r="S215">
        <v>307</v>
      </c>
      <c r="T215">
        <v>57</v>
      </c>
      <c r="U215">
        <v>84</v>
      </c>
      <c r="V215">
        <v>46</v>
      </c>
      <c r="W215">
        <v>0</v>
      </c>
      <c r="X215">
        <v>16</v>
      </c>
      <c r="Y215" t="s">
        <v>497</v>
      </c>
      <c r="Z215">
        <v>494</v>
      </c>
      <c r="AA215" t="s">
        <v>498</v>
      </c>
    </row>
    <row r="216" spans="1:27" x14ac:dyDescent="0.25">
      <c r="A216" t="s">
        <v>255</v>
      </c>
      <c r="B216" s="1">
        <v>45901</v>
      </c>
      <c r="C216" s="2">
        <v>0.74236111111111114</v>
      </c>
      <c r="D216" t="s">
        <v>38</v>
      </c>
      <c r="E216" t="s">
        <v>26</v>
      </c>
      <c r="F216" t="s">
        <v>33</v>
      </c>
      <c r="G216" t="s">
        <v>254</v>
      </c>
      <c r="H216" t="s">
        <v>29</v>
      </c>
      <c r="I216" t="s">
        <v>29</v>
      </c>
      <c r="J216">
        <v>4</v>
      </c>
      <c r="K216">
        <v>0</v>
      </c>
      <c r="L216">
        <v>5</v>
      </c>
      <c r="M216">
        <v>145</v>
      </c>
      <c r="N216">
        <v>194</v>
      </c>
      <c r="O216">
        <v>0</v>
      </c>
      <c r="P216">
        <v>20724</v>
      </c>
      <c r="Q216">
        <v>1.25</v>
      </c>
      <c r="R216">
        <v>25953</v>
      </c>
      <c r="S216">
        <v>127</v>
      </c>
      <c r="T216">
        <v>21</v>
      </c>
      <c r="U216">
        <v>37</v>
      </c>
      <c r="V216">
        <v>4</v>
      </c>
      <c r="W216">
        <v>0</v>
      </c>
      <c r="X216">
        <v>23</v>
      </c>
      <c r="Y216" t="s">
        <v>497</v>
      </c>
      <c r="Z216">
        <v>189</v>
      </c>
      <c r="AA216" t="s">
        <v>498</v>
      </c>
    </row>
    <row r="217" spans="1:27" x14ac:dyDescent="0.25">
      <c r="A217" t="s">
        <v>256</v>
      </c>
      <c r="B217" s="1">
        <v>45902</v>
      </c>
      <c r="C217" s="2">
        <v>0.78125</v>
      </c>
      <c r="D217" t="s">
        <v>38</v>
      </c>
      <c r="E217" t="s">
        <v>32</v>
      </c>
      <c r="F217" t="s">
        <v>45</v>
      </c>
      <c r="G217" t="s">
        <v>254</v>
      </c>
      <c r="H217" t="s">
        <v>29</v>
      </c>
      <c r="I217" t="s">
        <v>29</v>
      </c>
      <c r="J217">
        <v>14</v>
      </c>
      <c r="K217">
        <v>83</v>
      </c>
      <c r="L217">
        <v>1</v>
      </c>
      <c r="M217">
        <v>173</v>
      </c>
      <c r="N217">
        <v>292</v>
      </c>
      <c r="O217">
        <v>0</v>
      </c>
      <c r="P217">
        <v>10053</v>
      </c>
      <c r="Q217">
        <v>1.01</v>
      </c>
      <c r="R217">
        <v>10189</v>
      </c>
      <c r="S217">
        <v>377</v>
      </c>
      <c r="T217">
        <v>80</v>
      </c>
      <c r="U217">
        <v>100</v>
      </c>
      <c r="V217">
        <v>42</v>
      </c>
      <c r="W217">
        <v>0</v>
      </c>
      <c r="X217">
        <v>0</v>
      </c>
      <c r="Y217" t="s">
        <v>497</v>
      </c>
      <c r="Z217">
        <v>599</v>
      </c>
      <c r="AA217" t="s">
        <v>498</v>
      </c>
    </row>
    <row r="218" spans="1:27" x14ac:dyDescent="0.25">
      <c r="A218" t="s">
        <v>257</v>
      </c>
      <c r="B218" s="1">
        <v>45902</v>
      </c>
      <c r="C218" s="2">
        <v>0.92291666666666672</v>
      </c>
      <c r="D218" t="s">
        <v>35</v>
      </c>
      <c r="E218" t="s">
        <v>39</v>
      </c>
      <c r="F218" t="s">
        <v>42</v>
      </c>
      <c r="G218" t="s">
        <v>254</v>
      </c>
      <c r="H218" t="s">
        <v>29</v>
      </c>
      <c r="I218" t="s">
        <v>36</v>
      </c>
      <c r="J218">
        <v>3</v>
      </c>
      <c r="K218">
        <v>0</v>
      </c>
      <c r="L218">
        <v>1</v>
      </c>
      <c r="M218">
        <v>311</v>
      </c>
      <c r="N218">
        <v>119</v>
      </c>
      <c r="O218">
        <v>0</v>
      </c>
      <c r="P218">
        <v>8523</v>
      </c>
      <c r="Q218">
        <v>1.35</v>
      </c>
      <c r="R218">
        <v>11483</v>
      </c>
      <c r="S218">
        <v>195</v>
      </c>
      <c r="T218">
        <v>84</v>
      </c>
      <c r="U218">
        <v>102</v>
      </c>
      <c r="V218">
        <v>0</v>
      </c>
      <c r="W218">
        <v>186</v>
      </c>
      <c r="X218">
        <v>10</v>
      </c>
      <c r="Y218" t="s">
        <v>499</v>
      </c>
      <c r="Z218">
        <v>567</v>
      </c>
      <c r="AA218" t="s">
        <v>498</v>
      </c>
    </row>
    <row r="219" spans="1:27" x14ac:dyDescent="0.25">
      <c r="A219" t="s">
        <v>258</v>
      </c>
      <c r="B219" s="1">
        <v>45904</v>
      </c>
      <c r="C219" s="2">
        <v>0.55208333333333337</v>
      </c>
      <c r="D219" t="s">
        <v>25</v>
      </c>
      <c r="E219" t="s">
        <v>48</v>
      </c>
      <c r="F219" t="s">
        <v>45</v>
      </c>
      <c r="G219" t="s">
        <v>254</v>
      </c>
      <c r="H219" t="s">
        <v>36</v>
      </c>
      <c r="I219" t="s">
        <v>29</v>
      </c>
      <c r="J219">
        <v>6</v>
      </c>
      <c r="K219">
        <v>60</v>
      </c>
      <c r="L219">
        <v>1</v>
      </c>
      <c r="M219">
        <v>117</v>
      </c>
      <c r="N219">
        <v>243</v>
      </c>
      <c r="O219">
        <v>199</v>
      </c>
      <c r="P219">
        <v>6713</v>
      </c>
      <c r="Q219">
        <v>1.65</v>
      </c>
      <c r="R219">
        <v>11106</v>
      </c>
      <c r="S219">
        <v>174</v>
      </c>
      <c r="T219">
        <v>36</v>
      </c>
      <c r="U219">
        <v>47</v>
      </c>
      <c r="V219">
        <v>11</v>
      </c>
      <c r="W219">
        <v>0</v>
      </c>
      <c r="X219">
        <v>11</v>
      </c>
      <c r="Y219" t="s">
        <v>497</v>
      </c>
      <c r="Z219">
        <v>268</v>
      </c>
      <c r="AA219" t="s">
        <v>498</v>
      </c>
    </row>
    <row r="220" spans="1:27" x14ac:dyDescent="0.25">
      <c r="A220" t="s">
        <v>259</v>
      </c>
      <c r="B220" s="1">
        <v>45904</v>
      </c>
      <c r="C220" s="2">
        <v>0.87638888888888888</v>
      </c>
      <c r="D220" t="s">
        <v>35</v>
      </c>
      <c r="E220" t="s">
        <v>26</v>
      </c>
      <c r="F220" t="s">
        <v>45</v>
      </c>
      <c r="G220" t="s">
        <v>254</v>
      </c>
      <c r="H220" t="s">
        <v>36</v>
      </c>
      <c r="I220" t="s">
        <v>29</v>
      </c>
      <c r="J220">
        <v>3</v>
      </c>
      <c r="K220">
        <v>39</v>
      </c>
      <c r="L220">
        <v>1</v>
      </c>
      <c r="M220">
        <v>179</v>
      </c>
      <c r="N220">
        <v>331</v>
      </c>
      <c r="O220">
        <v>256</v>
      </c>
      <c r="P220">
        <v>38662</v>
      </c>
      <c r="Q220">
        <v>1.52</v>
      </c>
      <c r="R220">
        <v>58708</v>
      </c>
      <c r="S220">
        <v>3892</v>
      </c>
      <c r="T220">
        <v>687</v>
      </c>
      <c r="U220">
        <v>1048</v>
      </c>
      <c r="V220">
        <v>131</v>
      </c>
      <c r="W220">
        <v>0</v>
      </c>
      <c r="X220">
        <v>176</v>
      </c>
      <c r="Y220" t="s">
        <v>497</v>
      </c>
      <c r="Z220">
        <v>5758</v>
      </c>
      <c r="AA220" t="s">
        <v>498</v>
      </c>
    </row>
    <row r="221" spans="1:27" x14ac:dyDescent="0.25">
      <c r="A221" t="s">
        <v>260</v>
      </c>
      <c r="B221" s="1">
        <v>45908</v>
      </c>
      <c r="C221" s="2">
        <v>0.74861111111111112</v>
      </c>
      <c r="D221" t="s">
        <v>38</v>
      </c>
      <c r="E221" t="s">
        <v>39</v>
      </c>
      <c r="F221" t="s">
        <v>33</v>
      </c>
      <c r="G221" t="s">
        <v>254</v>
      </c>
      <c r="H221" t="s">
        <v>29</v>
      </c>
      <c r="I221" t="s">
        <v>29</v>
      </c>
      <c r="J221">
        <v>3</v>
      </c>
      <c r="K221">
        <v>0</v>
      </c>
      <c r="L221">
        <v>9</v>
      </c>
      <c r="M221">
        <v>129</v>
      </c>
      <c r="N221">
        <v>117</v>
      </c>
      <c r="O221">
        <v>0</v>
      </c>
      <c r="P221">
        <v>30620</v>
      </c>
      <c r="Q221">
        <v>1.1599999999999999</v>
      </c>
      <c r="R221">
        <v>35566</v>
      </c>
      <c r="S221">
        <v>335</v>
      </c>
      <c r="T221">
        <v>121</v>
      </c>
      <c r="U221">
        <v>167</v>
      </c>
      <c r="V221">
        <v>0</v>
      </c>
      <c r="W221">
        <v>0</v>
      </c>
      <c r="X221">
        <v>22</v>
      </c>
      <c r="Y221" t="s">
        <v>497</v>
      </c>
      <c r="Z221">
        <v>623</v>
      </c>
      <c r="AA221" t="s">
        <v>498</v>
      </c>
    </row>
    <row r="222" spans="1:27" x14ac:dyDescent="0.25">
      <c r="A222" t="s">
        <v>261</v>
      </c>
      <c r="B222" s="1">
        <v>45908</v>
      </c>
      <c r="C222" s="2">
        <v>0.77152777777777781</v>
      </c>
      <c r="D222" t="s">
        <v>38</v>
      </c>
      <c r="E222" t="s">
        <v>32</v>
      </c>
      <c r="F222" t="s">
        <v>42</v>
      </c>
      <c r="G222" t="s">
        <v>254</v>
      </c>
      <c r="H222" t="s">
        <v>36</v>
      </c>
      <c r="I222" t="s">
        <v>29</v>
      </c>
      <c r="J222">
        <v>6</v>
      </c>
      <c r="K222">
        <v>0</v>
      </c>
      <c r="L222">
        <v>1</v>
      </c>
      <c r="M222">
        <v>235</v>
      </c>
      <c r="N222">
        <v>42</v>
      </c>
      <c r="O222">
        <v>241</v>
      </c>
      <c r="P222">
        <v>27608</v>
      </c>
      <c r="Q222">
        <v>1.41</v>
      </c>
      <c r="R222">
        <v>38949</v>
      </c>
      <c r="S222">
        <v>397</v>
      </c>
      <c r="T222">
        <v>77</v>
      </c>
      <c r="U222">
        <v>80</v>
      </c>
      <c r="V222">
        <v>51</v>
      </c>
      <c r="W222">
        <v>0</v>
      </c>
      <c r="X222">
        <v>9</v>
      </c>
      <c r="Y222" t="s">
        <v>497</v>
      </c>
      <c r="Z222">
        <v>605</v>
      </c>
      <c r="AA222" t="s">
        <v>498</v>
      </c>
    </row>
    <row r="223" spans="1:27" x14ac:dyDescent="0.25">
      <c r="A223" t="s">
        <v>262</v>
      </c>
      <c r="B223" s="1">
        <v>45908</v>
      </c>
      <c r="C223" s="2">
        <v>0.94166666666666665</v>
      </c>
      <c r="D223" t="s">
        <v>35</v>
      </c>
      <c r="E223" t="s">
        <v>32</v>
      </c>
      <c r="F223" t="s">
        <v>33</v>
      </c>
      <c r="G223" t="s">
        <v>254</v>
      </c>
      <c r="H223" t="s">
        <v>36</v>
      </c>
      <c r="I223" t="s">
        <v>29</v>
      </c>
      <c r="J223">
        <v>6</v>
      </c>
      <c r="K223">
        <v>0</v>
      </c>
      <c r="L223">
        <v>3</v>
      </c>
      <c r="M223">
        <v>123</v>
      </c>
      <c r="N223">
        <v>228</v>
      </c>
      <c r="O223">
        <v>224</v>
      </c>
      <c r="P223">
        <v>83228</v>
      </c>
      <c r="Q223">
        <v>1.38</v>
      </c>
      <c r="R223">
        <v>114757</v>
      </c>
      <c r="S223">
        <v>2732</v>
      </c>
      <c r="T223">
        <v>494</v>
      </c>
      <c r="U223">
        <v>684</v>
      </c>
      <c r="V223">
        <v>342</v>
      </c>
      <c r="W223">
        <v>0</v>
      </c>
      <c r="X223">
        <v>74</v>
      </c>
      <c r="Y223" t="s">
        <v>497</v>
      </c>
      <c r="Z223">
        <v>4252</v>
      </c>
      <c r="AA223" t="s">
        <v>498</v>
      </c>
    </row>
    <row r="224" spans="1:27" x14ac:dyDescent="0.25">
      <c r="A224" t="s">
        <v>263</v>
      </c>
      <c r="B224" s="1">
        <v>45912</v>
      </c>
      <c r="C224" s="2">
        <v>0.47708333333333336</v>
      </c>
      <c r="D224" t="s">
        <v>25</v>
      </c>
      <c r="E224" t="s">
        <v>32</v>
      </c>
      <c r="F224" t="s">
        <v>27</v>
      </c>
      <c r="G224" t="s">
        <v>254</v>
      </c>
      <c r="H224" t="s">
        <v>36</v>
      </c>
      <c r="I224" t="s">
        <v>29</v>
      </c>
      <c r="J224">
        <v>9</v>
      </c>
      <c r="K224">
        <v>0</v>
      </c>
      <c r="L224">
        <v>1</v>
      </c>
      <c r="M224">
        <v>233</v>
      </c>
      <c r="N224">
        <v>180</v>
      </c>
      <c r="O224">
        <v>265</v>
      </c>
      <c r="P224">
        <v>38533</v>
      </c>
      <c r="Q224">
        <v>1.42</v>
      </c>
      <c r="R224">
        <v>54835</v>
      </c>
      <c r="S224">
        <v>775</v>
      </c>
      <c r="T224">
        <v>137</v>
      </c>
      <c r="U224">
        <v>162</v>
      </c>
      <c r="V224">
        <v>103</v>
      </c>
      <c r="W224">
        <v>0</v>
      </c>
      <c r="X224">
        <v>40</v>
      </c>
      <c r="Y224" t="s">
        <v>497</v>
      </c>
      <c r="Z224">
        <v>1177</v>
      </c>
      <c r="AA224" t="s">
        <v>498</v>
      </c>
    </row>
    <row r="225" spans="1:27" x14ac:dyDescent="0.25">
      <c r="A225" t="s">
        <v>264</v>
      </c>
      <c r="B225" s="1">
        <v>45912</v>
      </c>
      <c r="C225" s="2">
        <v>0.75972222222222219</v>
      </c>
      <c r="D225" t="s">
        <v>38</v>
      </c>
      <c r="E225" t="s">
        <v>48</v>
      </c>
      <c r="F225" t="s">
        <v>33</v>
      </c>
      <c r="G225" t="s">
        <v>254</v>
      </c>
      <c r="H225" t="s">
        <v>29</v>
      </c>
      <c r="I225" t="s">
        <v>29</v>
      </c>
      <c r="J225">
        <v>5</v>
      </c>
      <c r="K225">
        <v>0</v>
      </c>
      <c r="L225">
        <v>9</v>
      </c>
      <c r="M225">
        <v>258</v>
      </c>
      <c r="N225">
        <v>89</v>
      </c>
      <c r="O225">
        <v>0</v>
      </c>
      <c r="P225">
        <v>5869</v>
      </c>
      <c r="Q225">
        <v>1</v>
      </c>
      <c r="R225">
        <v>5869</v>
      </c>
      <c r="S225">
        <v>18</v>
      </c>
      <c r="T225">
        <v>4</v>
      </c>
      <c r="U225">
        <v>5</v>
      </c>
      <c r="V225">
        <v>1</v>
      </c>
      <c r="W225">
        <v>0</v>
      </c>
      <c r="X225">
        <v>10</v>
      </c>
      <c r="Y225" t="s">
        <v>499</v>
      </c>
      <c r="Z225">
        <v>28</v>
      </c>
      <c r="AA225" t="s">
        <v>498</v>
      </c>
    </row>
    <row r="226" spans="1:27" x14ac:dyDescent="0.25">
      <c r="A226" t="s">
        <v>265</v>
      </c>
      <c r="B226" s="1">
        <v>45912</v>
      </c>
      <c r="C226" s="2">
        <v>0.7729166666666667</v>
      </c>
      <c r="D226" t="s">
        <v>38</v>
      </c>
      <c r="E226" t="s">
        <v>32</v>
      </c>
      <c r="F226" t="s">
        <v>27</v>
      </c>
      <c r="G226" t="s">
        <v>254</v>
      </c>
      <c r="H226" t="s">
        <v>29</v>
      </c>
      <c r="I226" t="s">
        <v>29</v>
      </c>
      <c r="J226">
        <v>6</v>
      </c>
      <c r="K226">
        <v>0</v>
      </c>
      <c r="L226">
        <v>1</v>
      </c>
      <c r="M226">
        <v>217</v>
      </c>
      <c r="N226">
        <v>166</v>
      </c>
      <c r="O226">
        <v>0</v>
      </c>
      <c r="P226">
        <v>12008</v>
      </c>
      <c r="Q226">
        <v>1.1200000000000001</v>
      </c>
      <c r="R226">
        <v>13402</v>
      </c>
      <c r="S226">
        <v>308</v>
      </c>
      <c r="T226">
        <v>53</v>
      </c>
      <c r="U226">
        <v>63</v>
      </c>
      <c r="V226">
        <v>42</v>
      </c>
      <c r="W226">
        <v>0</v>
      </c>
      <c r="X226">
        <v>0</v>
      </c>
      <c r="Y226" t="s">
        <v>497</v>
      </c>
      <c r="Z226">
        <v>466</v>
      </c>
      <c r="AA226" t="s">
        <v>498</v>
      </c>
    </row>
    <row r="227" spans="1:27" x14ac:dyDescent="0.25">
      <c r="A227" t="s">
        <v>266</v>
      </c>
      <c r="B227" s="1">
        <v>45912</v>
      </c>
      <c r="C227" s="2">
        <v>0.78541666666666665</v>
      </c>
      <c r="D227" t="s">
        <v>38</v>
      </c>
      <c r="E227" t="s">
        <v>32</v>
      </c>
      <c r="F227" t="s">
        <v>45</v>
      </c>
      <c r="G227" t="s">
        <v>254</v>
      </c>
      <c r="H227" t="s">
        <v>36</v>
      </c>
      <c r="I227" t="s">
        <v>36</v>
      </c>
      <c r="J227">
        <v>10</v>
      </c>
      <c r="K227">
        <v>90</v>
      </c>
      <c r="L227">
        <v>1</v>
      </c>
      <c r="M227">
        <v>98</v>
      </c>
      <c r="N227">
        <v>123</v>
      </c>
      <c r="O227">
        <v>286</v>
      </c>
      <c r="P227">
        <v>7033</v>
      </c>
      <c r="Q227">
        <v>1.44</v>
      </c>
      <c r="R227">
        <v>10129</v>
      </c>
      <c r="S227">
        <v>181</v>
      </c>
      <c r="T227">
        <v>30</v>
      </c>
      <c r="U227">
        <v>40</v>
      </c>
      <c r="V227">
        <v>19</v>
      </c>
      <c r="W227">
        <v>236</v>
      </c>
      <c r="X227">
        <v>29</v>
      </c>
      <c r="Y227" t="s">
        <v>501</v>
      </c>
      <c r="Z227">
        <v>506</v>
      </c>
      <c r="AA227" t="s">
        <v>498</v>
      </c>
    </row>
    <row r="228" spans="1:27" x14ac:dyDescent="0.25">
      <c r="A228" t="s">
        <v>267</v>
      </c>
      <c r="B228" s="1">
        <v>45913</v>
      </c>
      <c r="C228" s="2">
        <v>0.73958333333333337</v>
      </c>
      <c r="D228" t="s">
        <v>38</v>
      </c>
      <c r="E228" t="s">
        <v>48</v>
      </c>
      <c r="F228" t="s">
        <v>45</v>
      </c>
      <c r="G228" t="s">
        <v>254</v>
      </c>
      <c r="H228" t="s">
        <v>29</v>
      </c>
      <c r="I228" t="s">
        <v>36</v>
      </c>
      <c r="J228">
        <v>5</v>
      </c>
      <c r="K228">
        <v>142</v>
      </c>
      <c r="L228">
        <v>1</v>
      </c>
      <c r="M228">
        <v>52</v>
      </c>
      <c r="N228">
        <v>205</v>
      </c>
      <c r="O228">
        <v>0</v>
      </c>
      <c r="P228">
        <v>7102</v>
      </c>
      <c r="Q228">
        <v>1.26</v>
      </c>
      <c r="R228">
        <v>8981</v>
      </c>
      <c r="S228">
        <v>128</v>
      </c>
      <c r="T228">
        <v>29</v>
      </c>
      <c r="U228">
        <v>46</v>
      </c>
      <c r="V228">
        <v>10</v>
      </c>
      <c r="W228">
        <v>251</v>
      </c>
      <c r="X228">
        <v>6</v>
      </c>
      <c r="Y228" t="s">
        <v>501</v>
      </c>
      <c r="Z228">
        <v>464</v>
      </c>
      <c r="AA228" t="s">
        <v>498</v>
      </c>
    </row>
    <row r="229" spans="1:27" x14ac:dyDescent="0.25">
      <c r="A229" t="s">
        <v>268</v>
      </c>
      <c r="B229" s="1">
        <v>45914</v>
      </c>
      <c r="C229" s="2">
        <v>0.59444444444444444</v>
      </c>
      <c r="D229" t="s">
        <v>25</v>
      </c>
      <c r="E229" t="s">
        <v>39</v>
      </c>
      <c r="F229" t="s">
        <v>42</v>
      </c>
      <c r="G229" t="s">
        <v>254</v>
      </c>
      <c r="H229" t="s">
        <v>29</v>
      </c>
      <c r="I229" t="s">
        <v>29</v>
      </c>
      <c r="J229">
        <v>3</v>
      </c>
      <c r="K229">
        <v>0</v>
      </c>
      <c r="L229">
        <v>1</v>
      </c>
      <c r="M229">
        <v>179</v>
      </c>
      <c r="N229">
        <v>117</v>
      </c>
      <c r="O229">
        <v>0</v>
      </c>
      <c r="P229">
        <v>5649</v>
      </c>
      <c r="Q229">
        <v>1.05</v>
      </c>
      <c r="R229">
        <v>5918</v>
      </c>
      <c r="S229">
        <v>80</v>
      </c>
      <c r="T229">
        <v>26</v>
      </c>
      <c r="U229">
        <v>42</v>
      </c>
      <c r="V229">
        <v>0</v>
      </c>
      <c r="W229">
        <v>0</v>
      </c>
      <c r="X229">
        <v>4</v>
      </c>
      <c r="Y229" t="s">
        <v>497</v>
      </c>
      <c r="Z229">
        <v>148</v>
      </c>
      <c r="AA229" t="s">
        <v>498</v>
      </c>
    </row>
    <row r="230" spans="1:27" x14ac:dyDescent="0.25">
      <c r="A230" t="s">
        <v>269</v>
      </c>
      <c r="B230" s="1">
        <v>45915</v>
      </c>
      <c r="C230" s="2">
        <v>0.46319444444444446</v>
      </c>
      <c r="D230" t="s">
        <v>25</v>
      </c>
      <c r="E230" t="s">
        <v>26</v>
      </c>
      <c r="F230" t="s">
        <v>42</v>
      </c>
      <c r="G230" t="s">
        <v>254</v>
      </c>
      <c r="H230" t="s">
        <v>29</v>
      </c>
      <c r="I230" t="s">
        <v>36</v>
      </c>
      <c r="J230">
        <v>3</v>
      </c>
      <c r="K230">
        <v>0</v>
      </c>
      <c r="L230">
        <v>1</v>
      </c>
      <c r="M230">
        <v>293</v>
      </c>
      <c r="N230">
        <v>65</v>
      </c>
      <c r="O230">
        <v>0</v>
      </c>
      <c r="P230">
        <v>9927</v>
      </c>
      <c r="Q230">
        <v>1.19</v>
      </c>
      <c r="R230">
        <v>11846</v>
      </c>
      <c r="S230">
        <v>246</v>
      </c>
      <c r="T230">
        <v>37</v>
      </c>
      <c r="U230">
        <v>56</v>
      </c>
      <c r="V230">
        <v>7</v>
      </c>
      <c r="W230">
        <v>227</v>
      </c>
      <c r="X230">
        <v>0</v>
      </c>
      <c r="Y230" t="s">
        <v>499</v>
      </c>
      <c r="Z230">
        <v>573</v>
      </c>
      <c r="AA230" t="s">
        <v>498</v>
      </c>
    </row>
    <row r="231" spans="1:27" x14ac:dyDescent="0.25">
      <c r="A231" t="s">
        <v>270</v>
      </c>
      <c r="B231" s="1">
        <v>45915</v>
      </c>
      <c r="C231" s="2">
        <v>0.47847222222222224</v>
      </c>
      <c r="D231" t="s">
        <v>25</v>
      </c>
      <c r="E231" t="s">
        <v>32</v>
      </c>
      <c r="F231" t="s">
        <v>27</v>
      </c>
      <c r="G231" t="s">
        <v>254</v>
      </c>
      <c r="H231" t="s">
        <v>36</v>
      </c>
      <c r="I231" t="s">
        <v>29</v>
      </c>
      <c r="J231">
        <v>11</v>
      </c>
      <c r="K231">
        <v>0</v>
      </c>
      <c r="L231">
        <v>1</v>
      </c>
      <c r="M231">
        <v>180</v>
      </c>
      <c r="N231">
        <v>143</v>
      </c>
      <c r="O231">
        <v>295</v>
      </c>
      <c r="P231">
        <v>13232</v>
      </c>
      <c r="Q231">
        <v>1.59</v>
      </c>
      <c r="R231">
        <v>21060</v>
      </c>
      <c r="S231">
        <v>378</v>
      </c>
      <c r="T231">
        <v>80</v>
      </c>
      <c r="U231">
        <v>81</v>
      </c>
      <c r="V231">
        <v>52</v>
      </c>
      <c r="W231">
        <v>0</v>
      </c>
      <c r="X231">
        <v>13</v>
      </c>
      <c r="Y231" t="s">
        <v>497</v>
      </c>
      <c r="Z231">
        <v>591</v>
      </c>
      <c r="AA231" t="s">
        <v>498</v>
      </c>
    </row>
    <row r="232" spans="1:27" x14ac:dyDescent="0.25">
      <c r="A232" t="s">
        <v>271</v>
      </c>
      <c r="B232" s="1">
        <v>45915</v>
      </c>
      <c r="C232" s="2">
        <v>0.67361111111111116</v>
      </c>
      <c r="D232" t="s">
        <v>38</v>
      </c>
      <c r="E232" t="s">
        <v>32</v>
      </c>
      <c r="F232" t="s">
        <v>45</v>
      </c>
      <c r="G232" t="s">
        <v>254</v>
      </c>
      <c r="H232" t="s">
        <v>29</v>
      </c>
      <c r="I232" t="s">
        <v>36</v>
      </c>
      <c r="J232">
        <v>9</v>
      </c>
      <c r="K232">
        <v>67</v>
      </c>
      <c r="L232">
        <v>1</v>
      </c>
      <c r="M232">
        <v>106</v>
      </c>
      <c r="N232">
        <v>198</v>
      </c>
      <c r="O232">
        <v>0</v>
      </c>
      <c r="P232">
        <v>10322</v>
      </c>
      <c r="Q232">
        <v>1.25</v>
      </c>
      <c r="R232">
        <v>12880</v>
      </c>
      <c r="S232">
        <v>138</v>
      </c>
      <c r="T232">
        <v>27</v>
      </c>
      <c r="U232">
        <v>32</v>
      </c>
      <c r="V232">
        <v>15</v>
      </c>
      <c r="W232">
        <v>288</v>
      </c>
      <c r="X232">
        <v>23</v>
      </c>
      <c r="Y232" t="s">
        <v>497</v>
      </c>
      <c r="Z232">
        <v>500</v>
      </c>
      <c r="AA232" t="s">
        <v>498</v>
      </c>
    </row>
    <row r="233" spans="1:27" x14ac:dyDescent="0.25">
      <c r="A233" t="s">
        <v>272</v>
      </c>
      <c r="B233" s="1">
        <v>45916</v>
      </c>
      <c r="C233" s="2">
        <v>0.53263888888888888</v>
      </c>
      <c r="D233" t="s">
        <v>25</v>
      </c>
      <c r="E233" t="s">
        <v>32</v>
      </c>
      <c r="F233" t="s">
        <v>33</v>
      </c>
      <c r="G233" t="s">
        <v>254</v>
      </c>
      <c r="H233" t="s">
        <v>36</v>
      </c>
      <c r="I233" t="s">
        <v>29</v>
      </c>
      <c r="J233">
        <v>5</v>
      </c>
      <c r="K233">
        <v>0</v>
      </c>
      <c r="L233">
        <v>3</v>
      </c>
      <c r="M233">
        <v>269</v>
      </c>
      <c r="N233">
        <v>205</v>
      </c>
      <c r="O233">
        <v>239</v>
      </c>
      <c r="P233">
        <v>11067</v>
      </c>
      <c r="Q233">
        <v>1.69</v>
      </c>
      <c r="R233">
        <v>18669</v>
      </c>
      <c r="S233">
        <v>511</v>
      </c>
      <c r="T233">
        <v>87</v>
      </c>
      <c r="U233">
        <v>115</v>
      </c>
      <c r="V233">
        <v>71</v>
      </c>
      <c r="W233">
        <v>0</v>
      </c>
      <c r="X233">
        <v>7</v>
      </c>
      <c r="Y233" t="s">
        <v>499</v>
      </c>
      <c r="Z233">
        <v>784</v>
      </c>
      <c r="AA233" t="s">
        <v>498</v>
      </c>
    </row>
    <row r="234" spans="1:27" x14ac:dyDescent="0.25">
      <c r="A234" t="s">
        <v>273</v>
      </c>
      <c r="B234" s="1">
        <v>45917</v>
      </c>
      <c r="C234" s="2">
        <v>0.68194444444444446</v>
      </c>
      <c r="D234" t="s">
        <v>38</v>
      </c>
      <c r="E234" t="s">
        <v>48</v>
      </c>
      <c r="F234" t="s">
        <v>27</v>
      </c>
      <c r="G234" t="s">
        <v>254</v>
      </c>
      <c r="H234" t="s">
        <v>36</v>
      </c>
      <c r="I234" t="s">
        <v>29</v>
      </c>
      <c r="J234">
        <v>2</v>
      </c>
      <c r="K234">
        <v>0</v>
      </c>
      <c r="L234">
        <v>1</v>
      </c>
      <c r="M234">
        <v>109</v>
      </c>
      <c r="N234">
        <v>112</v>
      </c>
      <c r="O234">
        <v>241</v>
      </c>
      <c r="P234">
        <v>11995</v>
      </c>
      <c r="Q234">
        <v>1.44</v>
      </c>
      <c r="R234">
        <v>17216</v>
      </c>
      <c r="S234">
        <v>164</v>
      </c>
      <c r="T234">
        <v>37</v>
      </c>
      <c r="U234">
        <v>60</v>
      </c>
      <c r="V234">
        <v>13</v>
      </c>
      <c r="W234">
        <v>0</v>
      </c>
      <c r="X234">
        <v>3</v>
      </c>
      <c r="Y234" t="s">
        <v>497</v>
      </c>
      <c r="Z234">
        <v>274</v>
      </c>
      <c r="AA234" t="s">
        <v>498</v>
      </c>
    </row>
    <row r="235" spans="1:27" x14ac:dyDescent="0.25">
      <c r="A235" t="s">
        <v>274</v>
      </c>
      <c r="B235" s="1">
        <v>45918</v>
      </c>
      <c r="C235" s="2">
        <v>0.33680555555555558</v>
      </c>
      <c r="D235" t="s">
        <v>31</v>
      </c>
      <c r="E235" t="s">
        <v>26</v>
      </c>
      <c r="F235" t="s">
        <v>27</v>
      </c>
      <c r="G235" t="s">
        <v>254</v>
      </c>
      <c r="H235" t="s">
        <v>29</v>
      </c>
      <c r="I235" t="s">
        <v>36</v>
      </c>
      <c r="J235">
        <v>6</v>
      </c>
      <c r="K235">
        <v>0</v>
      </c>
      <c r="L235">
        <v>1</v>
      </c>
      <c r="M235">
        <v>208</v>
      </c>
      <c r="N235">
        <v>221</v>
      </c>
      <c r="O235">
        <v>0</v>
      </c>
      <c r="P235">
        <v>16479</v>
      </c>
      <c r="Q235">
        <v>1.07</v>
      </c>
      <c r="R235">
        <v>17681</v>
      </c>
      <c r="S235">
        <v>669</v>
      </c>
      <c r="T235">
        <v>105</v>
      </c>
      <c r="U235">
        <v>185</v>
      </c>
      <c r="V235">
        <v>21</v>
      </c>
      <c r="W235">
        <v>289</v>
      </c>
      <c r="X235">
        <v>21</v>
      </c>
      <c r="Y235" t="s">
        <v>497</v>
      </c>
      <c r="Z235">
        <v>1269</v>
      </c>
      <c r="AA235" t="s">
        <v>498</v>
      </c>
    </row>
    <row r="236" spans="1:27" x14ac:dyDescent="0.25">
      <c r="A236" t="s">
        <v>275</v>
      </c>
      <c r="B236" s="1">
        <v>45918</v>
      </c>
      <c r="C236" s="2">
        <v>0.6694444444444444</v>
      </c>
      <c r="D236" t="s">
        <v>38</v>
      </c>
      <c r="E236" t="s">
        <v>32</v>
      </c>
      <c r="F236" t="s">
        <v>27</v>
      </c>
      <c r="G236" t="s">
        <v>254</v>
      </c>
      <c r="H236" t="s">
        <v>29</v>
      </c>
      <c r="I236" t="s">
        <v>29</v>
      </c>
      <c r="J236">
        <v>11</v>
      </c>
      <c r="K236">
        <v>0</v>
      </c>
      <c r="L236">
        <v>1</v>
      </c>
      <c r="M236">
        <v>105</v>
      </c>
      <c r="N236">
        <v>130</v>
      </c>
      <c r="O236">
        <v>0</v>
      </c>
      <c r="P236">
        <v>6794</v>
      </c>
      <c r="Q236">
        <v>1.33</v>
      </c>
      <c r="R236">
        <v>9008</v>
      </c>
      <c r="S236">
        <v>248</v>
      </c>
      <c r="T236">
        <v>43</v>
      </c>
      <c r="U236">
        <v>48</v>
      </c>
      <c r="V236">
        <v>32</v>
      </c>
      <c r="W236">
        <v>0</v>
      </c>
      <c r="X236">
        <v>11</v>
      </c>
      <c r="Y236" t="s">
        <v>497</v>
      </c>
      <c r="Z236">
        <v>371</v>
      </c>
      <c r="AA236" t="s">
        <v>498</v>
      </c>
    </row>
    <row r="237" spans="1:27" x14ac:dyDescent="0.25">
      <c r="A237" t="s">
        <v>276</v>
      </c>
      <c r="B237" s="1">
        <v>45918</v>
      </c>
      <c r="C237" s="2">
        <v>0.8881944444444444</v>
      </c>
      <c r="D237" t="s">
        <v>35</v>
      </c>
      <c r="E237" t="s">
        <v>32</v>
      </c>
      <c r="F237" t="s">
        <v>33</v>
      </c>
      <c r="G237" t="s">
        <v>254</v>
      </c>
      <c r="H237" t="s">
        <v>36</v>
      </c>
      <c r="I237" t="s">
        <v>36</v>
      </c>
      <c r="J237">
        <v>7</v>
      </c>
      <c r="K237">
        <v>0</v>
      </c>
      <c r="L237">
        <v>10</v>
      </c>
      <c r="M237">
        <v>261</v>
      </c>
      <c r="N237">
        <v>207</v>
      </c>
      <c r="O237">
        <v>316</v>
      </c>
      <c r="P237">
        <v>92740</v>
      </c>
      <c r="Q237">
        <v>1.92</v>
      </c>
      <c r="R237">
        <v>178003</v>
      </c>
      <c r="S237">
        <v>5192</v>
      </c>
      <c r="T237">
        <v>1019</v>
      </c>
      <c r="U237">
        <v>1115</v>
      </c>
      <c r="V237">
        <v>584</v>
      </c>
      <c r="W237">
        <v>6004</v>
      </c>
      <c r="X237">
        <v>74</v>
      </c>
      <c r="Y237" t="s">
        <v>499</v>
      </c>
      <c r="Z237">
        <v>13914</v>
      </c>
      <c r="AA237" t="s">
        <v>500</v>
      </c>
    </row>
    <row r="238" spans="1:27" x14ac:dyDescent="0.25">
      <c r="A238" t="s">
        <v>277</v>
      </c>
      <c r="B238" s="1">
        <v>45919</v>
      </c>
      <c r="C238" s="2">
        <v>0.53194444444444444</v>
      </c>
      <c r="D238" t="s">
        <v>25</v>
      </c>
      <c r="E238" t="s">
        <v>39</v>
      </c>
      <c r="F238" t="s">
        <v>27</v>
      </c>
      <c r="G238" t="s">
        <v>254</v>
      </c>
      <c r="H238" t="s">
        <v>29</v>
      </c>
      <c r="I238" t="s">
        <v>36</v>
      </c>
      <c r="J238">
        <v>2</v>
      </c>
      <c r="K238">
        <v>0</v>
      </c>
      <c r="L238">
        <v>1</v>
      </c>
      <c r="M238">
        <v>197</v>
      </c>
      <c r="N238">
        <v>135</v>
      </c>
      <c r="O238">
        <v>0</v>
      </c>
      <c r="P238">
        <v>7089</v>
      </c>
      <c r="Q238">
        <v>1.17</v>
      </c>
      <c r="R238">
        <v>8275</v>
      </c>
      <c r="S238">
        <v>66</v>
      </c>
      <c r="T238">
        <v>27</v>
      </c>
      <c r="U238">
        <v>27</v>
      </c>
      <c r="V238">
        <v>0</v>
      </c>
      <c r="W238">
        <v>143</v>
      </c>
      <c r="X238">
        <v>8</v>
      </c>
      <c r="Y238" t="s">
        <v>497</v>
      </c>
      <c r="Z238">
        <v>263</v>
      </c>
      <c r="AA238" t="s">
        <v>498</v>
      </c>
    </row>
    <row r="239" spans="1:27" x14ac:dyDescent="0.25">
      <c r="A239" t="s">
        <v>278</v>
      </c>
      <c r="B239" s="1">
        <v>45919</v>
      </c>
      <c r="C239" s="2">
        <v>0.62986111111111109</v>
      </c>
      <c r="D239" t="s">
        <v>38</v>
      </c>
      <c r="E239" t="s">
        <v>32</v>
      </c>
      <c r="F239" t="s">
        <v>27</v>
      </c>
      <c r="G239" t="s">
        <v>254</v>
      </c>
      <c r="H239" t="s">
        <v>29</v>
      </c>
      <c r="I239" t="s">
        <v>36</v>
      </c>
      <c r="J239">
        <v>7</v>
      </c>
      <c r="K239">
        <v>0</v>
      </c>
      <c r="L239">
        <v>1</v>
      </c>
      <c r="M239">
        <v>96</v>
      </c>
      <c r="N239">
        <v>178</v>
      </c>
      <c r="O239">
        <v>0</v>
      </c>
      <c r="P239">
        <v>12198</v>
      </c>
      <c r="Q239">
        <v>1.33</v>
      </c>
      <c r="R239">
        <v>16257</v>
      </c>
      <c r="S239">
        <v>353</v>
      </c>
      <c r="T239">
        <v>73</v>
      </c>
      <c r="U239">
        <v>70</v>
      </c>
      <c r="V239">
        <v>46</v>
      </c>
      <c r="W239">
        <v>369</v>
      </c>
      <c r="X239">
        <v>23</v>
      </c>
      <c r="Y239" t="s">
        <v>501</v>
      </c>
      <c r="Z239">
        <v>911</v>
      </c>
      <c r="AA239" t="s">
        <v>498</v>
      </c>
    </row>
    <row r="240" spans="1:27" x14ac:dyDescent="0.25">
      <c r="A240" t="s">
        <v>279</v>
      </c>
      <c r="B240" s="1">
        <v>45920</v>
      </c>
      <c r="C240" s="2">
        <v>0.72499999999999998</v>
      </c>
      <c r="D240" t="s">
        <v>38</v>
      </c>
      <c r="E240" t="s">
        <v>26</v>
      </c>
      <c r="F240" t="s">
        <v>27</v>
      </c>
      <c r="G240" t="s">
        <v>254</v>
      </c>
      <c r="H240" t="s">
        <v>29</v>
      </c>
      <c r="I240" t="s">
        <v>36</v>
      </c>
      <c r="J240">
        <v>6</v>
      </c>
      <c r="K240">
        <v>0</v>
      </c>
      <c r="L240">
        <v>1</v>
      </c>
      <c r="M240">
        <v>199</v>
      </c>
      <c r="N240">
        <v>89</v>
      </c>
      <c r="O240">
        <v>0</v>
      </c>
      <c r="P240">
        <v>4003</v>
      </c>
      <c r="Q240">
        <v>1.31</v>
      </c>
      <c r="R240">
        <v>5259</v>
      </c>
      <c r="S240">
        <v>149</v>
      </c>
      <c r="T240">
        <v>19</v>
      </c>
      <c r="U240">
        <v>33</v>
      </c>
      <c r="V240">
        <v>3</v>
      </c>
      <c r="W240">
        <v>76</v>
      </c>
      <c r="X240">
        <v>3</v>
      </c>
      <c r="Y240" t="s">
        <v>497</v>
      </c>
      <c r="Z240">
        <v>280</v>
      </c>
      <c r="AA240" t="s">
        <v>498</v>
      </c>
    </row>
    <row r="241" spans="1:27" x14ac:dyDescent="0.25">
      <c r="A241" t="s">
        <v>280</v>
      </c>
      <c r="B241" s="1">
        <v>45920</v>
      </c>
      <c r="C241" s="2">
        <v>0.77222222222222225</v>
      </c>
      <c r="D241" t="s">
        <v>38</v>
      </c>
      <c r="E241" t="s">
        <v>39</v>
      </c>
      <c r="F241" t="s">
        <v>27</v>
      </c>
      <c r="G241" t="s">
        <v>254</v>
      </c>
      <c r="H241" t="s">
        <v>36</v>
      </c>
      <c r="I241" t="s">
        <v>29</v>
      </c>
      <c r="J241">
        <v>4</v>
      </c>
      <c r="K241">
        <v>0</v>
      </c>
      <c r="L241">
        <v>1</v>
      </c>
      <c r="M241">
        <v>85</v>
      </c>
      <c r="N241">
        <v>194</v>
      </c>
      <c r="O241">
        <v>269</v>
      </c>
      <c r="P241">
        <v>7276</v>
      </c>
      <c r="Q241">
        <v>1.81</v>
      </c>
      <c r="R241">
        <v>13203</v>
      </c>
      <c r="S241">
        <v>132</v>
      </c>
      <c r="T241">
        <v>48</v>
      </c>
      <c r="U241">
        <v>53</v>
      </c>
      <c r="V241">
        <v>0</v>
      </c>
      <c r="W241">
        <v>0</v>
      </c>
      <c r="X241">
        <v>0</v>
      </c>
      <c r="Y241" t="s">
        <v>501</v>
      </c>
      <c r="Z241">
        <v>233</v>
      </c>
      <c r="AA241" t="s">
        <v>498</v>
      </c>
    </row>
    <row r="242" spans="1:27" x14ac:dyDescent="0.25">
      <c r="A242" t="s">
        <v>281</v>
      </c>
      <c r="B242" s="1">
        <v>45922</v>
      </c>
      <c r="C242" s="2">
        <v>0.47361111111111109</v>
      </c>
      <c r="D242" t="s">
        <v>25</v>
      </c>
      <c r="E242" t="s">
        <v>32</v>
      </c>
      <c r="F242" t="s">
        <v>45</v>
      </c>
      <c r="G242" t="s">
        <v>254</v>
      </c>
      <c r="H242" t="s">
        <v>36</v>
      </c>
      <c r="I242" t="s">
        <v>36</v>
      </c>
      <c r="J242">
        <v>14</v>
      </c>
      <c r="K242">
        <v>61</v>
      </c>
      <c r="L242">
        <v>1</v>
      </c>
      <c r="M242">
        <v>61</v>
      </c>
      <c r="N242">
        <v>105</v>
      </c>
      <c r="O242">
        <v>305</v>
      </c>
      <c r="P242">
        <v>15700</v>
      </c>
      <c r="Q242">
        <v>1.4</v>
      </c>
      <c r="R242">
        <v>21982</v>
      </c>
      <c r="S242">
        <v>161</v>
      </c>
      <c r="T242">
        <v>35</v>
      </c>
      <c r="U242">
        <v>36</v>
      </c>
      <c r="V242">
        <v>19</v>
      </c>
      <c r="W242">
        <v>442</v>
      </c>
      <c r="X242">
        <v>19</v>
      </c>
      <c r="Y242" t="s">
        <v>501</v>
      </c>
      <c r="Z242">
        <v>693</v>
      </c>
      <c r="AA242" t="s">
        <v>498</v>
      </c>
    </row>
    <row r="243" spans="1:27" x14ac:dyDescent="0.25">
      <c r="A243" t="s">
        <v>282</v>
      </c>
      <c r="B243" s="1">
        <v>45922</v>
      </c>
      <c r="C243" s="2">
        <v>0.82291666666666663</v>
      </c>
      <c r="D243" t="s">
        <v>35</v>
      </c>
      <c r="E243" t="s">
        <v>48</v>
      </c>
      <c r="F243" t="s">
        <v>45</v>
      </c>
      <c r="G243" t="s">
        <v>254</v>
      </c>
      <c r="H243" t="s">
        <v>29</v>
      </c>
      <c r="I243" t="s">
        <v>36</v>
      </c>
      <c r="J243">
        <v>6</v>
      </c>
      <c r="K243">
        <v>151</v>
      </c>
      <c r="L243">
        <v>1</v>
      </c>
      <c r="M243">
        <v>159</v>
      </c>
      <c r="N243">
        <v>169</v>
      </c>
      <c r="O243">
        <v>0</v>
      </c>
      <c r="P243">
        <v>6591</v>
      </c>
      <c r="Q243">
        <v>1.0900000000000001</v>
      </c>
      <c r="R243">
        <v>7197</v>
      </c>
      <c r="S243">
        <v>48</v>
      </c>
      <c r="T243">
        <v>11</v>
      </c>
      <c r="U243">
        <v>14</v>
      </c>
      <c r="V243">
        <v>3</v>
      </c>
      <c r="W243">
        <v>159</v>
      </c>
      <c r="X243">
        <v>13</v>
      </c>
      <c r="Y243" t="s">
        <v>497</v>
      </c>
      <c r="Z243">
        <v>235</v>
      </c>
      <c r="AA243" t="s">
        <v>498</v>
      </c>
    </row>
    <row r="244" spans="1:27" x14ac:dyDescent="0.25">
      <c r="A244" t="s">
        <v>283</v>
      </c>
      <c r="B244" s="1">
        <v>45924</v>
      </c>
      <c r="C244" s="2">
        <v>0.73750000000000004</v>
      </c>
      <c r="D244" t="s">
        <v>38</v>
      </c>
      <c r="E244" t="s">
        <v>39</v>
      </c>
      <c r="F244" t="s">
        <v>27</v>
      </c>
      <c r="G244" t="s">
        <v>254</v>
      </c>
      <c r="H244" t="s">
        <v>29</v>
      </c>
      <c r="I244" t="s">
        <v>29</v>
      </c>
      <c r="J244">
        <v>3</v>
      </c>
      <c r="K244">
        <v>0</v>
      </c>
      <c r="L244">
        <v>1</v>
      </c>
      <c r="M244">
        <v>170</v>
      </c>
      <c r="N244">
        <v>181</v>
      </c>
      <c r="O244">
        <v>0</v>
      </c>
      <c r="P244">
        <v>4235</v>
      </c>
      <c r="Q244">
        <v>1</v>
      </c>
      <c r="R244">
        <v>4235</v>
      </c>
      <c r="S244">
        <v>42</v>
      </c>
      <c r="T244">
        <v>15</v>
      </c>
      <c r="U244">
        <v>18</v>
      </c>
      <c r="V244">
        <v>0</v>
      </c>
      <c r="W244">
        <v>0</v>
      </c>
      <c r="X244">
        <v>1</v>
      </c>
      <c r="Y244" t="s">
        <v>497</v>
      </c>
      <c r="Z244">
        <v>75</v>
      </c>
      <c r="AA244" t="s">
        <v>498</v>
      </c>
    </row>
    <row r="245" spans="1:27" x14ac:dyDescent="0.25">
      <c r="A245" t="s">
        <v>284</v>
      </c>
      <c r="B245" s="1">
        <v>45924</v>
      </c>
      <c r="C245" s="2">
        <v>0.94861111111111107</v>
      </c>
      <c r="D245" t="s">
        <v>35</v>
      </c>
      <c r="E245" t="s">
        <v>26</v>
      </c>
      <c r="F245" t="s">
        <v>27</v>
      </c>
      <c r="G245" t="s">
        <v>254</v>
      </c>
      <c r="H245" t="s">
        <v>29</v>
      </c>
      <c r="I245" t="s">
        <v>29</v>
      </c>
      <c r="J245">
        <v>7</v>
      </c>
      <c r="K245">
        <v>0</v>
      </c>
      <c r="L245">
        <v>1</v>
      </c>
      <c r="M245">
        <v>244</v>
      </c>
      <c r="N245">
        <v>80</v>
      </c>
      <c r="O245">
        <v>0</v>
      </c>
      <c r="P245">
        <v>22433</v>
      </c>
      <c r="Q245">
        <v>1.05</v>
      </c>
      <c r="R245">
        <v>23664</v>
      </c>
      <c r="S245">
        <v>671</v>
      </c>
      <c r="T245">
        <v>77</v>
      </c>
      <c r="U245">
        <v>186</v>
      </c>
      <c r="V245">
        <v>18</v>
      </c>
      <c r="W245">
        <v>0</v>
      </c>
      <c r="X245">
        <v>26</v>
      </c>
      <c r="Y245" t="s">
        <v>497</v>
      </c>
      <c r="Z245">
        <v>952</v>
      </c>
      <c r="AA245" t="s">
        <v>498</v>
      </c>
    </row>
    <row r="246" spans="1:27" x14ac:dyDescent="0.25">
      <c r="A246" t="s">
        <v>285</v>
      </c>
      <c r="B246" s="1">
        <v>45926</v>
      </c>
      <c r="C246" s="2">
        <v>0.4826388888888889</v>
      </c>
      <c r="D246" t="s">
        <v>25</v>
      </c>
      <c r="E246" t="s">
        <v>26</v>
      </c>
      <c r="F246" t="s">
        <v>45</v>
      </c>
      <c r="G246" t="s">
        <v>254</v>
      </c>
      <c r="H246" t="s">
        <v>29</v>
      </c>
      <c r="I246" t="s">
        <v>36</v>
      </c>
      <c r="J246">
        <v>3</v>
      </c>
      <c r="K246">
        <v>15</v>
      </c>
      <c r="L246">
        <v>1</v>
      </c>
      <c r="M246">
        <v>72</v>
      </c>
      <c r="N246">
        <v>136</v>
      </c>
      <c r="O246">
        <v>0</v>
      </c>
      <c r="P246">
        <v>17890</v>
      </c>
      <c r="Q246">
        <v>1.51</v>
      </c>
      <c r="R246">
        <v>27069</v>
      </c>
      <c r="S246">
        <v>1961</v>
      </c>
      <c r="T246">
        <v>264</v>
      </c>
      <c r="U246">
        <v>544</v>
      </c>
      <c r="V246">
        <v>64</v>
      </c>
      <c r="W246">
        <v>514</v>
      </c>
      <c r="X246">
        <v>1</v>
      </c>
      <c r="Y246" t="s">
        <v>501</v>
      </c>
      <c r="Z246">
        <v>3347</v>
      </c>
      <c r="AA246" t="s">
        <v>498</v>
      </c>
    </row>
    <row r="247" spans="1:27" x14ac:dyDescent="0.25">
      <c r="A247" t="s">
        <v>286</v>
      </c>
      <c r="B247" s="1">
        <v>45926</v>
      </c>
      <c r="C247" s="2">
        <v>0.69444444444444442</v>
      </c>
      <c r="D247" t="s">
        <v>38</v>
      </c>
      <c r="E247" t="s">
        <v>26</v>
      </c>
      <c r="F247" t="s">
        <v>45</v>
      </c>
      <c r="G247" t="s">
        <v>254</v>
      </c>
      <c r="H247" t="s">
        <v>36</v>
      </c>
      <c r="I247" t="s">
        <v>29</v>
      </c>
      <c r="J247">
        <v>6</v>
      </c>
      <c r="K247">
        <v>19</v>
      </c>
      <c r="L247">
        <v>1</v>
      </c>
      <c r="M247">
        <v>164</v>
      </c>
      <c r="N247">
        <v>309</v>
      </c>
      <c r="O247">
        <v>197</v>
      </c>
      <c r="P247">
        <v>37054</v>
      </c>
      <c r="Q247">
        <v>1.48</v>
      </c>
      <c r="R247">
        <v>54997</v>
      </c>
      <c r="S247">
        <v>2272</v>
      </c>
      <c r="T247">
        <v>284</v>
      </c>
      <c r="U247">
        <v>677</v>
      </c>
      <c r="V247">
        <v>70</v>
      </c>
      <c r="W247">
        <v>0</v>
      </c>
      <c r="X247">
        <v>147</v>
      </c>
      <c r="Y247" t="s">
        <v>497</v>
      </c>
      <c r="Z247">
        <v>3303</v>
      </c>
      <c r="AA247" t="s">
        <v>498</v>
      </c>
    </row>
    <row r="248" spans="1:27" x14ac:dyDescent="0.25">
      <c r="A248" t="s">
        <v>287</v>
      </c>
      <c r="B248" s="1">
        <v>45928</v>
      </c>
      <c r="C248" s="2">
        <v>0.54791666666666672</v>
      </c>
      <c r="D248" t="s">
        <v>25</v>
      </c>
      <c r="E248" t="s">
        <v>39</v>
      </c>
      <c r="F248" t="s">
        <v>45</v>
      </c>
      <c r="G248" t="s">
        <v>254</v>
      </c>
      <c r="H248" t="s">
        <v>36</v>
      </c>
      <c r="I248" t="s">
        <v>29</v>
      </c>
      <c r="J248">
        <v>3</v>
      </c>
      <c r="K248">
        <v>175</v>
      </c>
      <c r="L248">
        <v>1</v>
      </c>
      <c r="M248">
        <v>109</v>
      </c>
      <c r="N248">
        <v>160</v>
      </c>
      <c r="O248">
        <v>414</v>
      </c>
      <c r="P248">
        <v>7708</v>
      </c>
      <c r="Q248">
        <v>1.5</v>
      </c>
      <c r="R248">
        <v>11597</v>
      </c>
      <c r="S248">
        <v>112</v>
      </c>
      <c r="T248">
        <v>48</v>
      </c>
      <c r="U248">
        <v>54</v>
      </c>
      <c r="V248">
        <v>0</v>
      </c>
      <c r="W248">
        <v>0</v>
      </c>
      <c r="X248">
        <v>5</v>
      </c>
      <c r="Y248" t="s">
        <v>497</v>
      </c>
      <c r="Z248">
        <v>214</v>
      </c>
      <c r="AA248" t="s">
        <v>498</v>
      </c>
    </row>
    <row r="249" spans="1:27" x14ac:dyDescent="0.25">
      <c r="A249" t="s">
        <v>288</v>
      </c>
      <c r="B249" s="1">
        <v>45929</v>
      </c>
      <c r="C249" s="2">
        <v>0.80208333333333337</v>
      </c>
      <c r="D249" t="s">
        <v>35</v>
      </c>
      <c r="E249" t="s">
        <v>48</v>
      </c>
      <c r="F249" t="s">
        <v>27</v>
      </c>
      <c r="G249" t="s">
        <v>254</v>
      </c>
      <c r="H249" t="s">
        <v>36</v>
      </c>
      <c r="I249" t="s">
        <v>36</v>
      </c>
      <c r="J249">
        <v>4</v>
      </c>
      <c r="K249">
        <v>0</v>
      </c>
      <c r="L249">
        <v>1</v>
      </c>
      <c r="M249">
        <v>175</v>
      </c>
      <c r="N249">
        <v>188</v>
      </c>
      <c r="O249">
        <v>235</v>
      </c>
      <c r="P249">
        <v>34996</v>
      </c>
      <c r="Q249">
        <v>1.27</v>
      </c>
      <c r="R249">
        <v>44614</v>
      </c>
      <c r="S249">
        <v>444</v>
      </c>
      <c r="T249">
        <v>103</v>
      </c>
      <c r="U249">
        <v>164</v>
      </c>
      <c r="V249">
        <v>36</v>
      </c>
      <c r="W249">
        <v>843</v>
      </c>
      <c r="X249">
        <v>65</v>
      </c>
      <c r="Y249" t="s">
        <v>497</v>
      </c>
      <c r="Z249">
        <v>1590</v>
      </c>
      <c r="AA249" t="s">
        <v>498</v>
      </c>
    </row>
    <row r="250" spans="1:27" x14ac:dyDescent="0.25">
      <c r="A250" t="s">
        <v>289</v>
      </c>
      <c r="B250" s="1">
        <v>45929</v>
      </c>
      <c r="C250" s="2">
        <v>0.82777777777777772</v>
      </c>
      <c r="D250" t="s">
        <v>35</v>
      </c>
      <c r="E250" t="s">
        <v>39</v>
      </c>
      <c r="F250" t="s">
        <v>33</v>
      </c>
      <c r="G250" t="s">
        <v>254</v>
      </c>
      <c r="H250" t="s">
        <v>29</v>
      </c>
      <c r="I250" t="s">
        <v>29</v>
      </c>
      <c r="J250">
        <v>1</v>
      </c>
      <c r="K250">
        <v>0</v>
      </c>
      <c r="L250">
        <v>6</v>
      </c>
      <c r="M250">
        <v>232</v>
      </c>
      <c r="N250">
        <v>80</v>
      </c>
      <c r="O250">
        <v>0</v>
      </c>
      <c r="P250">
        <v>4942</v>
      </c>
      <c r="Q250">
        <v>1</v>
      </c>
      <c r="R250">
        <v>4942</v>
      </c>
      <c r="S250">
        <v>74</v>
      </c>
      <c r="T250">
        <v>25</v>
      </c>
      <c r="U250">
        <v>36</v>
      </c>
      <c r="V250">
        <v>0</v>
      </c>
      <c r="W250">
        <v>0</v>
      </c>
      <c r="X250">
        <v>9</v>
      </c>
      <c r="Y250" t="s">
        <v>497</v>
      </c>
      <c r="Z250">
        <v>135</v>
      </c>
      <c r="AA250" t="s">
        <v>498</v>
      </c>
    </row>
    <row r="251" spans="1:27" x14ac:dyDescent="0.25">
      <c r="A251" t="s">
        <v>290</v>
      </c>
      <c r="B251" s="1">
        <v>45929</v>
      </c>
      <c r="C251" s="2">
        <v>0.88194444444444442</v>
      </c>
      <c r="D251" t="s">
        <v>35</v>
      </c>
      <c r="E251" t="s">
        <v>48</v>
      </c>
      <c r="F251" t="s">
        <v>42</v>
      </c>
      <c r="G251" t="s">
        <v>254</v>
      </c>
      <c r="H251" t="s">
        <v>29</v>
      </c>
      <c r="I251" t="s">
        <v>29</v>
      </c>
      <c r="J251">
        <v>3</v>
      </c>
      <c r="K251">
        <v>0</v>
      </c>
      <c r="L251">
        <v>1</v>
      </c>
      <c r="M251">
        <v>450</v>
      </c>
      <c r="N251">
        <v>34</v>
      </c>
      <c r="O251">
        <v>0</v>
      </c>
      <c r="P251">
        <v>2808</v>
      </c>
      <c r="Q251">
        <v>1</v>
      </c>
      <c r="R251">
        <v>2808</v>
      </c>
      <c r="S251">
        <v>30</v>
      </c>
      <c r="T251">
        <v>6</v>
      </c>
      <c r="U251">
        <v>8</v>
      </c>
      <c r="V251">
        <v>2</v>
      </c>
      <c r="W251">
        <v>0</v>
      </c>
      <c r="X251">
        <v>2</v>
      </c>
      <c r="Y251" t="s">
        <v>499</v>
      </c>
      <c r="Z251">
        <v>46</v>
      </c>
      <c r="AA251" t="s">
        <v>498</v>
      </c>
    </row>
    <row r="252" spans="1:27" x14ac:dyDescent="0.25">
      <c r="A252" t="s">
        <v>291</v>
      </c>
      <c r="B252" s="1">
        <v>45929</v>
      </c>
      <c r="C252" s="2">
        <v>0.91388888888888886</v>
      </c>
      <c r="D252" t="s">
        <v>35</v>
      </c>
      <c r="E252" t="s">
        <v>26</v>
      </c>
      <c r="F252" t="s">
        <v>45</v>
      </c>
      <c r="G252" t="s">
        <v>254</v>
      </c>
      <c r="H252" t="s">
        <v>29</v>
      </c>
      <c r="I252" t="s">
        <v>29</v>
      </c>
      <c r="J252">
        <v>5</v>
      </c>
      <c r="K252">
        <v>18</v>
      </c>
      <c r="L252">
        <v>1</v>
      </c>
      <c r="M252">
        <v>107</v>
      </c>
      <c r="N252">
        <v>279</v>
      </c>
      <c r="O252">
        <v>0</v>
      </c>
      <c r="P252">
        <v>30610</v>
      </c>
      <c r="Q252">
        <v>1.1599999999999999</v>
      </c>
      <c r="R252">
        <v>35531</v>
      </c>
      <c r="S252">
        <v>3022</v>
      </c>
      <c r="T252">
        <v>450</v>
      </c>
      <c r="U252">
        <v>730</v>
      </c>
      <c r="V252">
        <v>83</v>
      </c>
      <c r="W252">
        <v>0</v>
      </c>
      <c r="X252">
        <v>9</v>
      </c>
      <c r="Y252" t="s">
        <v>497</v>
      </c>
      <c r="Z252">
        <v>4285</v>
      </c>
      <c r="AA252" t="s">
        <v>498</v>
      </c>
    </row>
    <row r="253" spans="1:27" x14ac:dyDescent="0.25">
      <c r="A253" t="s">
        <v>292</v>
      </c>
      <c r="B253" s="1">
        <v>45931</v>
      </c>
      <c r="C253" s="2">
        <v>0.84513888888888888</v>
      </c>
      <c r="D253" t="s">
        <v>35</v>
      </c>
      <c r="E253" t="s">
        <v>26</v>
      </c>
      <c r="F253" t="s">
        <v>45</v>
      </c>
      <c r="G253" t="s">
        <v>293</v>
      </c>
      <c r="H253" t="s">
        <v>36</v>
      </c>
      <c r="I253" t="s">
        <v>29</v>
      </c>
      <c r="J253">
        <v>4</v>
      </c>
      <c r="K253">
        <v>41</v>
      </c>
      <c r="L253">
        <v>1</v>
      </c>
      <c r="M253">
        <v>181</v>
      </c>
      <c r="N253">
        <v>255</v>
      </c>
      <c r="O253">
        <v>178</v>
      </c>
      <c r="P253">
        <v>32321</v>
      </c>
      <c r="Q253">
        <v>1.46</v>
      </c>
      <c r="R253">
        <v>47287</v>
      </c>
      <c r="S253">
        <v>3973</v>
      </c>
      <c r="T253">
        <v>513</v>
      </c>
      <c r="U253">
        <v>922</v>
      </c>
      <c r="V253">
        <v>119</v>
      </c>
      <c r="W253">
        <v>0</v>
      </c>
      <c r="X253">
        <v>88</v>
      </c>
      <c r="Y253" t="s">
        <v>497</v>
      </c>
      <c r="Z253">
        <v>5527</v>
      </c>
      <c r="AA253" t="s">
        <v>498</v>
      </c>
    </row>
    <row r="254" spans="1:27" x14ac:dyDescent="0.25">
      <c r="A254" t="s">
        <v>294</v>
      </c>
      <c r="B254" s="1">
        <v>45933</v>
      </c>
      <c r="C254" s="2">
        <v>0.46597222222222223</v>
      </c>
      <c r="D254" t="s">
        <v>25</v>
      </c>
      <c r="E254" t="s">
        <v>32</v>
      </c>
      <c r="F254" t="s">
        <v>45</v>
      </c>
      <c r="G254" t="s">
        <v>293</v>
      </c>
      <c r="H254" t="s">
        <v>29</v>
      </c>
      <c r="I254" t="s">
        <v>29</v>
      </c>
      <c r="J254">
        <v>5</v>
      </c>
      <c r="K254">
        <v>77</v>
      </c>
      <c r="L254">
        <v>1</v>
      </c>
      <c r="M254">
        <v>186</v>
      </c>
      <c r="N254">
        <v>242</v>
      </c>
      <c r="O254">
        <v>0</v>
      </c>
      <c r="P254">
        <v>7359</v>
      </c>
      <c r="Q254">
        <v>1.47</v>
      </c>
      <c r="R254">
        <v>10844</v>
      </c>
      <c r="S254">
        <v>273</v>
      </c>
      <c r="T254">
        <v>49</v>
      </c>
      <c r="U254">
        <v>57</v>
      </c>
      <c r="V254">
        <v>31</v>
      </c>
      <c r="W254">
        <v>0</v>
      </c>
      <c r="X254">
        <v>17</v>
      </c>
      <c r="Y254" t="s">
        <v>497</v>
      </c>
      <c r="Z254">
        <v>410</v>
      </c>
      <c r="AA254" t="s">
        <v>498</v>
      </c>
    </row>
    <row r="255" spans="1:27" x14ac:dyDescent="0.25">
      <c r="A255" t="s">
        <v>295</v>
      </c>
      <c r="B255" s="1">
        <v>45933</v>
      </c>
      <c r="C255" s="2">
        <v>0.52430555555555558</v>
      </c>
      <c r="D255" t="s">
        <v>25</v>
      </c>
      <c r="E255" t="s">
        <v>32</v>
      </c>
      <c r="F255" t="s">
        <v>45</v>
      </c>
      <c r="G255" t="s">
        <v>293</v>
      </c>
      <c r="H255" t="s">
        <v>36</v>
      </c>
      <c r="I255" t="s">
        <v>29</v>
      </c>
      <c r="J255">
        <v>14</v>
      </c>
      <c r="K255">
        <v>21</v>
      </c>
      <c r="L255">
        <v>1</v>
      </c>
      <c r="M255">
        <v>141</v>
      </c>
      <c r="N255">
        <v>119</v>
      </c>
      <c r="O255">
        <v>371</v>
      </c>
      <c r="P255">
        <v>15379</v>
      </c>
      <c r="Q255">
        <v>1.32</v>
      </c>
      <c r="R255">
        <v>20226</v>
      </c>
      <c r="S255">
        <v>313</v>
      </c>
      <c r="T255">
        <v>54</v>
      </c>
      <c r="U255">
        <v>70</v>
      </c>
      <c r="V255">
        <v>39</v>
      </c>
      <c r="W255">
        <v>0</v>
      </c>
      <c r="X255">
        <v>12</v>
      </c>
      <c r="Y255" t="s">
        <v>497</v>
      </c>
      <c r="Z255">
        <v>476</v>
      </c>
      <c r="AA255" t="s">
        <v>498</v>
      </c>
    </row>
    <row r="256" spans="1:27" x14ac:dyDescent="0.25">
      <c r="A256" t="s">
        <v>296</v>
      </c>
      <c r="B256" s="1">
        <v>45939</v>
      </c>
      <c r="C256" s="2">
        <v>0.44305555555555554</v>
      </c>
      <c r="D256" t="s">
        <v>31</v>
      </c>
      <c r="E256" t="s">
        <v>32</v>
      </c>
      <c r="F256" t="s">
        <v>33</v>
      </c>
      <c r="G256" t="s">
        <v>293</v>
      </c>
      <c r="H256" t="s">
        <v>29</v>
      </c>
      <c r="I256" t="s">
        <v>36</v>
      </c>
      <c r="J256">
        <v>5</v>
      </c>
      <c r="K256">
        <v>0</v>
      </c>
      <c r="L256">
        <v>5</v>
      </c>
      <c r="M256">
        <v>279</v>
      </c>
      <c r="N256">
        <v>83</v>
      </c>
      <c r="O256">
        <v>0</v>
      </c>
      <c r="P256">
        <v>10430</v>
      </c>
      <c r="Q256">
        <v>1</v>
      </c>
      <c r="R256">
        <v>10430</v>
      </c>
      <c r="S256">
        <v>448</v>
      </c>
      <c r="T256">
        <v>89</v>
      </c>
      <c r="U256">
        <v>109</v>
      </c>
      <c r="V256">
        <v>49</v>
      </c>
      <c r="W256">
        <v>226</v>
      </c>
      <c r="X256">
        <v>14</v>
      </c>
      <c r="Y256" t="s">
        <v>499</v>
      </c>
      <c r="Z256">
        <v>921</v>
      </c>
      <c r="AA256" t="s">
        <v>498</v>
      </c>
    </row>
    <row r="257" spans="1:27" x14ac:dyDescent="0.25">
      <c r="A257" t="s">
        <v>297</v>
      </c>
      <c r="B257" s="1">
        <v>45939</v>
      </c>
      <c r="C257" s="2">
        <v>0.65277777777777779</v>
      </c>
      <c r="D257" t="s">
        <v>38</v>
      </c>
      <c r="E257" t="s">
        <v>32</v>
      </c>
      <c r="F257" t="s">
        <v>27</v>
      </c>
      <c r="G257" t="s">
        <v>293</v>
      </c>
      <c r="H257" t="s">
        <v>29</v>
      </c>
      <c r="I257" t="s">
        <v>29</v>
      </c>
      <c r="J257">
        <v>9</v>
      </c>
      <c r="K257">
        <v>0</v>
      </c>
      <c r="L257">
        <v>1</v>
      </c>
      <c r="M257">
        <v>233</v>
      </c>
      <c r="N257">
        <v>115</v>
      </c>
      <c r="O257">
        <v>0</v>
      </c>
      <c r="P257">
        <v>6929</v>
      </c>
      <c r="Q257">
        <v>1.1200000000000001</v>
      </c>
      <c r="R257">
        <v>7788</v>
      </c>
      <c r="S257">
        <v>351</v>
      </c>
      <c r="T257">
        <v>63</v>
      </c>
      <c r="U257">
        <v>94</v>
      </c>
      <c r="V257">
        <v>45</v>
      </c>
      <c r="W257">
        <v>0</v>
      </c>
      <c r="X257">
        <v>1</v>
      </c>
      <c r="Y257" t="s">
        <v>497</v>
      </c>
      <c r="Z257">
        <v>553</v>
      </c>
      <c r="AA257" t="s">
        <v>498</v>
      </c>
    </row>
    <row r="258" spans="1:27" x14ac:dyDescent="0.25">
      <c r="A258" t="s">
        <v>298</v>
      </c>
      <c r="B258" s="1">
        <v>45939</v>
      </c>
      <c r="C258" s="2">
        <v>0.65763888888888888</v>
      </c>
      <c r="D258" t="s">
        <v>38</v>
      </c>
      <c r="E258" t="s">
        <v>39</v>
      </c>
      <c r="F258" t="s">
        <v>45</v>
      </c>
      <c r="G258" t="s">
        <v>293</v>
      </c>
      <c r="H258" t="s">
        <v>29</v>
      </c>
      <c r="I258" t="s">
        <v>36</v>
      </c>
      <c r="J258">
        <v>1</v>
      </c>
      <c r="K258">
        <v>43</v>
      </c>
      <c r="L258">
        <v>1</v>
      </c>
      <c r="M258">
        <v>95</v>
      </c>
      <c r="N258">
        <v>230</v>
      </c>
      <c r="O258">
        <v>0</v>
      </c>
      <c r="P258">
        <v>10492</v>
      </c>
      <c r="Q258">
        <v>1.1200000000000001</v>
      </c>
      <c r="R258">
        <v>11788</v>
      </c>
      <c r="S258">
        <v>237</v>
      </c>
      <c r="T258">
        <v>84</v>
      </c>
      <c r="U258">
        <v>110</v>
      </c>
      <c r="V258">
        <v>0</v>
      </c>
      <c r="W258">
        <v>317</v>
      </c>
      <c r="X258">
        <v>0</v>
      </c>
      <c r="Y258" t="s">
        <v>501</v>
      </c>
      <c r="Z258">
        <v>748</v>
      </c>
      <c r="AA258" t="s">
        <v>498</v>
      </c>
    </row>
    <row r="259" spans="1:27" x14ac:dyDescent="0.25">
      <c r="A259" t="s">
        <v>299</v>
      </c>
      <c r="B259" s="1">
        <v>45941</v>
      </c>
      <c r="C259" s="2">
        <v>0.62847222222222221</v>
      </c>
      <c r="D259" t="s">
        <v>38</v>
      </c>
      <c r="E259" t="s">
        <v>48</v>
      </c>
      <c r="F259" t="s">
        <v>42</v>
      </c>
      <c r="G259" t="s">
        <v>293</v>
      </c>
      <c r="H259" t="s">
        <v>29</v>
      </c>
      <c r="I259" t="s">
        <v>29</v>
      </c>
      <c r="J259">
        <v>2</v>
      </c>
      <c r="K259">
        <v>0</v>
      </c>
      <c r="L259">
        <v>1</v>
      </c>
      <c r="M259">
        <v>215</v>
      </c>
      <c r="N259">
        <v>46</v>
      </c>
      <c r="O259">
        <v>0</v>
      </c>
      <c r="P259">
        <v>9502</v>
      </c>
      <c r="Q259">
        <v>1.1000000000000001</v>
      </c>
      <c r="R259">
        <v>10429</v>
      </c>
      <c r="S259">
        <v>85</v>
      </c>
      <c r="T259">
        <v>23</v>
      </c>
      <c r="U259">
        <v>25</v>
      </c>
      <c r="V259">
        <v>7</v>
      </c>
      <c r="W259">
        <v>0</v>
      </c>
      <c r="X259">
        <v>3</v>
      </c>
      <c r="Y259" t="s">
        <v>497</v>
      </c>
      <c r="Z259">
        <v>140</v>
      </c>
      <c r="AA259" t="s">
        <v>498</v>
      </c>
    </row>
    <row r="260" spans="1:27" x14ac:dyDescent="0.25">
      <c r="A260" t="s">
        <v>300</v>
      </c>
      <c r="B260" s="1">
        <v>45942</v>
      </c>
      <c r="C260" s="2">
        <v>0.95277777777777772</v>
      </c>
      <c r="D260" t="s">
        <v>35</v>
      </c>
      <c r="E260" t="s">
        <v>32</v>
      </c>
      <c r="F260" t="s">
        <v>27</v>
      </c>
      <c r="G260" t="s">
        <v>293</v>
      </c>
      <c r="H260" t="s">
        <v>29</v>
      </c>
      <c r="I260" t="s">
        <v>29</v>
      </c>
      <c r="J260">
        <v>13</v>
      </c>
      <c r="K260">
        <v>0</v>
      </c>
      <c r="L260">
        <v>1</v>
      </c>
      <c r="M260">
        <v>215</v>
      </c>
      <c r="N260">
        <v>86</v>
      </c>
      <c r="O260">
        <v>0</v>
      </c>
      <c r="P260">
        <v>16751</v>
      </c>
      <c r="Q260">
        <v>1.33</v>
      </c>
      <c r="R260">
        <v>22331</v>
      </c>
      <c r="S260">
        <v>722</v>
      </c>
      <c r="T260">
        <v>132</v>
      </c>
      <c r="U260">
        <v>187</v>
      </c>
      <c r="V260">
        <v>110</v>
      </c>
      <c r="W260">
        <v>0</v>
      </c>
      <c r="X260">
        <v>11</v>
      </c>
      <c r="Y260" t="s">
        <v>497</v>
      </c>
      <c r="Z260">
        <v>1151</v>
      </c>
      <c r="AA260" t="s">
        <v>498</v>
      </c>
    </row>
    <row r="261" spans="1:27" x14ac:dyDescent="0.25">
      <c r="A261" t="s">
        <v>301</v>
      </c>
      <c r="B261" s="1">
        <v>45943</v>
      </c>
      <c r="C261" s="2">
        <v>0.88263888888888886</v>
      </c>
      <c r="D261" t="s">
        <v>35</v>
      </c>
      <c r="E261" t="s">
        <v>39</v>
      </c>
      <c r="F261" t="s">
        <v>45</v>
      </c>
      <c r="G261" t="s">
        <v>293</v>
      </c>
      <c r="H261" t="s">
        <v>29</v>
      </c>
      <c r="I261" t="s">
        <v>36</v>
      </c>
      <c r="J261">
        <v>2</v>
      </c>
      <c r="K261">
        <v>88</v>
      </c>
      <c r="L261">
        <v>1</v>
      </c>
      <c r="M261">
        <v>128</v>
      </c>
      <c r="N261">
        <v>159</v>
      </c>
      <c r="O261">
        <v>0</v>
      </c>
      <c r="P261">
        <v>7726</v>
      </c>
      <c r="Q261">
        <v>1.1000000000000001</v>
      </c>
      <c r="R261">
        <v>8475</v>
      </c>
      <c r="S261">
        <v>162</v>
      </c>
      <c r="T261">
        <v>64</v>
      </c>
      <c r="U261">
        <v>66</v>
      </c>
      <c r="V261">
        <v>0</v>
      </c>
      <c r="W261">
        <v>150</v>
      </c>
      <c r="X261">
        <v>11</v>
      </c>
      <c r="Y261" t="s">
        <v>497</v>
      </c>
      <c r="Z261">
        <v>442</v>
      </c>
      <c r="AA261" t="s">
        <v>498</v>
      </c>
    </row>
    <row r="262" spans="1:27" x14ac:dyDescent="0.25">
      <c r="A262" t="s">
        <v>302</v>
      </c>
      <c r="B262" s="1">
        <v>45945</v>
      </c>
      <c r="C262" s="2">
        <v>0.72291666666666665</v>
      </c>
      <c r="D262" t="s">
        <v>38</v>
      </c>
      <c r="E262" t="s">
        <v>26</v>
      </c>
      <c r="F262" t="s">
        <v>45</v>
      </c>
      <c r="G262" t="s">
        <v>293</v>
      </c>
      <c r="H262" t="s">
        <v>29</v>
      </c>
      <c r="I262" t="s">
        <v>36</v>
      </c>
      <c r="J262">
        <v>4</v>
      </c>
      <c r="K262">
        <v>59</v>
      </c>
      <c r="L262">
        <v>1</v>
      </c>
      <c r="M262">
        <v>111</v>
      </c>
      <c r="N262">
        <v>268</v>
      </c>
      <c r="O262">
        <v>0</v>
      </c>
      <c r="P262">
        <v>21234</v>
      </c>
      <c r="Q262">
        <v>1.24</v>
      </c>
      <c r="R262">
        <v>26231</v>
      </c>
      <c r="S262">
        <v>2464</v>
      </c>
      <c r="T262">
        <v>415</v>
      </c>
      <c r="U262">
        <v>740</v>
      </c>
      <c r="V262">
        <v>84</v>
      </c>
      <c r="W262">
        <v>610</v>
      </c>
      <c r="X262">
        <v>21</v>
      </c>
      <c r="Y262" t="s">
        <v>497</v>
      </c>
      <c r="Z262">
        <v>4313</v>
      </c>
      <c r="AA262" t="s">
        <v>498</v>
      </c>
    </row>
    <row r="263" spans="1:27" x14ac:dyDescent="0.25">
      <c r="A263" t="s">
        <v>303</v>
      </c>
      <c r="B263" s="1">
        <v>45947</v>
      </c>
      <c r="C263" s="2">
        <v>0.73263888888888884</v>
      </c>
      <c r="D263" t="s">
        <v>38</v>
      </c>
      <c r="E263" t="s">
        <v>48</v>
      </c>
      <c r="F263" t="s">
        <v>27</v>
      </c>
      <c r="G263" t="s">
        <v>293</v>
      </c>
      <c r="H263" t="s">
        <v>29</v>
      </c>
      <c r="I263" t="s">
        <v>29</v>
      </c>
      <c r="J263">
        <v>2</v>
      </c>
      <c r="K263">
        <v>0</v>
      </c>
      <c r="L263">
        <v>1</v>
      </c>
      <c r="M263">
        <v>238</v>
      </c>
      <c r="N263">
        <v>167</v>
      </c>
      <c r="O263">
        <v>0</v>
      </c>
      <c r="P263">
        <v>6901</v>
      </c>
      <c r="Q263">
        <v>1.1399999999999999</v>
      </c>
      <c r="R263">
        <v>7850</v>
      </c>
      <c r="S263">
        <v>103</v>
      </c>
      <c r="T263">
        <v>25</v>
      </c>
      <c r="U263">
        <v>40</v>
      </c>
      <c r="V263">
        <v>9</v>
      </c>
      <c r="W263">
        <v>0</v>
      </c>
      <c r="X263">
        <v>23</v>
      </c>
      <c r="Y263" t="s">
        <v>497</v>
      </c>
      <c r="Z263">
        <v>177</v>
      </c>
      <c r="AA263" t="s">
        <v>498</v>
      </c>
    </row>
    <row r="264" spans="1:27" x14ac:dyDescent="0.25">
      <c r="A264" t="s">
        <v>304</v>
      </c>
      <c r="B264" s="1">
        <v>45948</v>
      </c>
      <c r="C264" s="2">
        <v>0.64583333333333337</v>
      </c>
      <c r="D264" t="s">
        <v>38</v>
      </c>
      <c r="E264" t="s">
        <v>39</v>
      </c>
      <c r="F264" t="s">
        <v>33</v>
      </c>
      <c r="G264" t="s">
        <v>293</v>
      </c>
      <c r="H264" t="s">
        <v>29</v>
      </c>
      <c r="I264" t="s">
        <v>36</v>
      </c>
      <c r="J264">
        <v>3</v>
      </c>
      <c r="K264">
        <v>0</v>
      </c>
      <c r="L264">
        <v>4</v>
      </c>
      <c r="M264">
        <v>148</v>
      </c>
      <c r="N264">
        <v>200</v>
      </c>
      <c r="O264">
        <v>0</v>
      </c>
      <c r="P264">
        <v>3893</v>
      </c>
      <c r="Q264">
        <v>1.3</v>
      </c>
      <c r="R264">
        <v>5063</v>
      </c>
      <c r="S264">
        <v>58</v>
      </c>
      <c r="T264">
        <v>25</v>
      </c>
      <c r="U264">
        <v>24</v>
      </c>
      <c r="V264">
        <v>0</v>
      </c>
      <c r="W264">
        <v>113</v>
      </c>
      <c r="X264">
        <v>3</v>
      </c>
      <c r="Y264" t="s">
        <v>497</v>
      </c>
      <c r="Z264">
        <v>220</v>
      </c>
      <c r="AA264" t="s">
        <v>498</v>
      </c>
    </row>
    <row r="265" spans="1:27" x14ac:dyDescent="0.25">
      <c r="A265" t="s">
        <v>305</v>
      </c>
      <c r="B265" s="1">
        <v>45949</v>
      </c>
      <c r="C265" s="2">
        <v>0.69791666666666663</v>
      </c>
      <c r="D265" t="s">
        <v>38</v>
      </c>
      <c r="E265" t="s">
        <v>32</v>
      </c>
      <c r="F265" t="s">
        <v>42</v>
      </c>
      <c r="G265" t="s">
        <v>293</v>
      </c>
      <c r="H265" t="s">
        <v>29</v>
      </c>
      <c r="I265" t="s">
        <v>36</v>
      </c>
      <c r="J265">
        <v>12</v>
      </c>
      <c r="K265">
        <v>0</v>
      </c>
      <c r="L265">
        <v>1</v>
      </c>
      <c r="M265">
        <v>345</v>
      </c>
      <c r="N265">
        <v>58</v>
      </c>
      <c r="O265">
        <v>0</v>
      </c>
      <c r="P265">
        <v>9102</v>
      </c>
      <c r="Q265">
        <v>1.1100000000000001</v>
      </c>
      <c r="R265">
        <v>10124</v>
      </c>
      <c r="S265">
        <v>274</v>
      </c>
      <c r="T265">
        <v>58</v>
      </c>
      <c r="U265">
        <v>71</v>
      </c>
      <c r="V265">
        <v>32</v>
      </c>
      <c r="W265">
        <v>122</v>
      </c>
      <c r="X265">
        <v>16</v>
      </c>
      <c r="Y265" t="s">
        <v>499</v>
      </c>
      <c r="Z265">
        <v>557</v>
      </c>
      <c r="AA265" t="s">
        <v>498</v>
      </c>
    </row>
    <row r="266" spans="1:27" x14ac:dyDescent="0.25">
      <c r="A266" t="s">
        <v>306</v>
      </c>
      <c r="B266" s="1">
        <v>45950</v>
      </c>
      <c r="C266" s="2">
        <v>0.55902777777777779</v>
      </c>
      <c r="D266" t="s">
        <v>25</v>
      </c>
      <c r="E266" t="s">
        <v>39</v>
      </c>
      <c r="F266" t="s">
        <v>42</v>
      </c>
      <c r="G266" t="s">
        <v>293</v>
      </c>
      <c r="H266" t="s">
        <v>36</v>
      </c>
      <c r="I266" t="s">
        <v>36</v>
      </c>
      <c r="J266">
        <v>4</v>
      </c>
      <c r="K266">
        <v>0</v>
      </c>
      <c r="L266">
        <v>1</v>
      </c>
      <c r="M266">
        <v>384</v>
      </c>
      <c r="N266">
        <v>116</v>
      </c>
      <c r="O266">
        <v>309</v>
      </c>
      <c r="P266">
        <v>3350</v>
      </c>
      <c r="Q266">
        <v>1.41</v>
      </c>
      <c r="R266">
        <v>4715</v>
      </c>
      <c r="S266">
        <v>116</v>
      </c>
      <c r="T266">
        <v>35</v>
      </c>
      <c r="U266">
        <v>54</v>
      </c>
      <c r="V266">
        <v>0</v>
      </c>
      <c r="W266">
        <v>61</v>
      </c>
      <c r="X266">
        <v>5</v>
      </c>
      <c r="Y266" t="s">
        <v>499</v>
      </c>
      <c r="Z266">
        <v>266</v>
      </c>
      <c r="AA266" t="s">
        <v>498</v>
      </c>
    </row>
    <row r="267" spans="1:27" x14ac:dyDescent="0.25">
      <c r="A267" t="s">
        <v>307</v>
      </c>
      <c r="B267" s="1">
        <v>45950</v>
      </c>
      <c r="C267" s="2">
        <v>0.74930555555555556</v>
      </c>
      <c r="D267" t="s">
        <v>38</v>
      </c>
      <c r="E267" t="s">
        <v>32</v>
      </c>
      <c r="F267" t="s">
        <v>33</v>
      </c>
      <c r="G267" t="s">
        <v>293</v>
      </c>
      <c r="H267" t="s">
        <v>29</v>
      </c>
      <c r="I267" t="s">
        <v>29</v>
      </c>
      <c r="J267">
        <v>6</v>
      </c>
      <c r="K267">
        <v>0</v>
      </c>
      <c r="L267">
        <v>9</v>
      </c>
      <c r="M267">
        <v>240</v>
      </c>
      <c r="N267">
        <v>88</v>
      </c>
      <c r="O267">
        <v>0</v>
      </c>
      <c r="P267">
        <v>8441</v>
      </c>
      <c r="Q267">
        <v>1</v>
      </c>
      <c r="R267">
        <v>8441</v>
      </c>
      <c r="S267">
        <v>286</v>
      </c>
      <c r="T267">
        <v>47</v>
      </c>
      <c r="U267">
        <v>64</v>
      </c>
      <c r="V267">
        <v>34</v>
      </c>
      <c r="W267">
        <v>0</v>
      </c>
      <c r="X267">
        <v>24</v>
      </c>
      <c r="Y267" t="s">
        <v>497</v>
      </c>
      <c r="Z267">
        <v>431</v>
      </c>
      <c r="AA267" t="s">
        <v>498</v>
      </c>
    </row>
    <row r="268" spans="1:27" x14ac:dyDescent="0.25">
      <c r="A268" t="s">
        <v>308</v>
      </c>
      <c r="B268" s="1">
        <v>45951</v>
      </c>
      <c r="C268" s="2">
        <v>0.57013888888888886</v>
      </c>
      <c r="D268" t="s">
        <v>25</v>
      </c>
      <c r="E268" t="s">
        <v>39</v>
      </c>
      <c r="F268" t="s">
        <v>45</v>
      </c>
      <c r="G268" t="s">
        <v>293</v>
      </c>
      <c r="H268" t="s">
        <v>29</v>
      </c>
      <c r="I268" t="s">
        <v>29</v>
      </c>
      <c r="J268">
        <v>4</v>
      </c>
      <c r="K268">
        <v>56</v>
      </c>
      <c r="L268">
        <v>1</v>
      </c>
      <c r="M268">
        <v>187</v>
      </c>
      <c r="N268">
        <v>162</v>
      </c>
      <c r="O268">
        <v>0</v>
      </c>
      <c r="P268">
        <v>4995</v>
      </c>
      <c r="Q268">
        <v>1.1200000000000001</v>
      </c>
      <c r="R268">
        <v>5615</v>
      </c>
      <c r="S268">
        <v>85</v>
      </c>
      <c r="T268">
        <v>33</v>
      </c>
      <c r="U268">
        <v>39</v>
      </c>
      <c r="V268">
        <v>0</v>
      </c>
      <c r="W268">
        <v>0</v>
      </c>
      <c r="X268">
        <v>4</v>
      </c>
      <c r="Y268" t="s">
        <v>497</v>
      </c>
      <c r="Z268">
        <v>157</v>
      </c>
      <c r="AA268" t="s">
        <v>498</v>
      </c>
    </row>
    <row r="269" spans="1:27" x14ac:dyDescent="0.25">
      <c r="A269" t="s">
        <v>309</v>
      </c>
      <c r="B269" s="1">
        <v>45951</v>
      </c>
      <c r="C269" s="2">
        <v>0.74583333333333335</v>
      </c>
      <c r="D269" t="s">
        <v>38</v>
      </c>
      <c r="E269" t="s">
        <v>32</v>
      </c>
      <c r="F269" t="s">
        <v>27</v>
      </c>
      <c r="G269" t="s">
        <v>293</v>
      </c>
      <c r="H269" t="s">
        <v>36</v>
      </c>
      <c r="I269" t="s">
        <v>29</v>
      </c>
      <c r="J269">
        <v>8</v>
      </c>
      <c r="K269">
        <v>0</v>
      </c>
      <c r="L269">
        <v>1</v>
      </c>
      <c r="M269">
        <v>206</v>
      </c>
      <c r="N269">
        <v>139</v>
      </c>
      <c r="O269">
        <v>248</v>
      </c>
      <c r="P269">
        <v>32289</v>
      </c>
      <c r="Q269">
        <v>1.53</v>
      </c>
      <c r="R269">
        <v>49314</v>
      </c>
      <c r="S269">
        <v>1859</v>
      </c>
      <c r="T269">
        <v>348</v>
      </c>
      <c r="U269">
        <v>448</v>
      </c>
      <c r="V269">
        <v>230</v>
      </c>
      <c r="W269">
        <v>0</v>
      </c>
      <c r="X269">
        <v>37</v>
      </c>
      <c r="Y269" t="s">
        <v>497</v>
      </c>
      <c r="Z269">
        <v>2885</v>
      </c>
      <c r="AA269" t="s">
        <v>498</v>
      </c>
    </row>
    <row r="270" spans="1:27" x14ac:dyDescent="0.25">
      <c r="A270" t="s">
        <v>310</v>
      </c>
      <c r="B270" s="1">
        <v>45952</v>
      </c>
      <c r="C270" s="2">
        <v>0.90347222222222223</v>
      </c>
      <c r="D270" t="s">
        <v>35</v>
      </c>
      <c r="E270" t="s">
        <v>32</v>
      </c>
      <c r="F270" t="s">
        <v>27</v>
      </c>
      <c r="G270" t="s">
        <v>293</v>
      </c>
      <c r="H270" t="s">
        <v>29</v>
      </c>
      <c r="I270" t="s">
        <v>29</v>
      </c>
      <c r="J270">
        <v>9</v>
      </c>
      <c r="K270">
        <v>0</v>
      </c>
      <c r="L270">
        <v>1</v>
      </c>
      <c r="M270">
        <v>179</v>
      </c>
      <c r="N270">
        <v>84</v>
      </c>
      <c r="O270">
        <v>0</v>
      </c>
      <c r="P270">
        <v>11526</v>
      </c>
      <c r="Q270">
        <v>1.1499999999999999</v>
      </c>
      <c r="R270">
        <v>13220</v>
      </c>
      <c r="S270">
        <v>430</v>
      </c>
      <c r="T270">
        <v>90</v>
      </c>
      <c r="U270">
        <v>116</v>
      </c>
      <c r="V270">
        <v>51</v>
      </c>
      <c r="W270">
        <v>0</v>
      </c>
      <c r="X270">
        <v>13</v>
      </c>
      <c r="Y270" t="s">
        <v>497</v>
      </c>
      <c r="Z270">
        <v>687</v>
      </c>
      <c r="AA270" t="s">
        <v>498</v>
      </c>
    </row>
    <row r="271" spans="1:27" x14ac:dyDescent="0.25">
      <c r="A271" t="s">
        <v>311</v>
      </c>
      <c r="B271" s="1">
        <v>45953</v>
      </c>
      <c r="C271" s="2">
        <v>0.72986111111111107</v>
      </c>
      <c r="D271" t="s">
        <v>38</v>
      </c>
      <c r="E271" t="s">
        <v>26</v>
      </c>
      <c r="F271" t="s">
        <v>45</v>
      </c>
      <c r="G271" t="s">
        <v>293</v>
      </c>
      <c r="H271" t="s">
        <v>29</v>
      </c>
      <c r="I271" t="s">
        <v>29</v>
      </c>
      <c r="J271">
        <v>4</v>
      </c>
      <c r="K271">
        <v>49</v>
      </c>
      <c r="L271">
        <v>1</v>
      </c>
      <c r="M271">
        <v>100</v>
      </c>
      <c r="N271">
        <v>246</v>
      </c>
      <c r="O271">
        <v>0</v>
      </c>
      <c r="P271">
        <v>10522</v>
      </c>
      <c r="Q271">
        <v>1.17</v>
      </c>
      <c r="R271">
        <v>12342</v>
      </c>
      <c r="S271">
        <v>1203</v>
      </c>
      <c r="T271">
        <v>183</v>
      </c>
      <c r="U271">
        <v>326</v>
      </c>
      <c r="V271">
        <v>34</v>
      </c>
      <c r="W271">
        <v>0</v>
      </c>
      <c r="X271">
        <v>42</v>
      </c>
      <c r="Y271" t="s">
        <v>497</v>
      </c>
      <c r="Z271">
        <v>1746</v>
      </c>
      <c r="AA271" t="s">
        <v>498</v>
      </c>
    </row>
    <row r="272" spans="1:27" x14ac:dyDescent="0.25">
      <c r="A272" t="s">
        <v>312</v>
      </c>
      <c r="B272" s="1">
        <v>45954</v>
      </c>
      <c r="C272" s="2">
        <v>0.76458333333333328</v>
      </c>
      <c r="D272" t="s">
        <v>38</v>
      </c>
      <c r="E272" t="s">
        <v>32</v>
      </c>
      <c r="F272" t="s">
        <v>33</v>
      </c>
      <c r="G272" t="s">
        <v>293</v>
      </c>
      <c r="H272" t="s">
        <v>36</v>
      </c>
      <c r="I272" t="s">
        <v>36</v>
      </c>
      <c r="J272">
        <v>9</v>
      </c>
      <c r="K272">
        <v>0</v>
      </c>
      <c r="L272">
        <v>8</v>
      </c>
      <c r="M272">
        <v>171</v>
      </c>
      <c r="N272">
        <v>184</v>
      </c>
      <c r="O272">
        <v>372</v>
      </c>
      <c r="P272">
        <v>57065</v>
      </c>
      <c r="Q272">
        <v>1.26</v>
      </c>
      <c r="R272">
        <v>71850</v>
      </c>
      <c r="S272">
        <v>2212</v>
      </c>
      <c r="T272">
        <v>423</v>
      </c>
      <c r="U272">
        <v>479</v>
      </c>
      <c r="V272">
        <v>275</v>
      </c>
      <c r="W272">
        <v>2267</v>
      </c>
      <c r="X272">
        <v>43</v>
      </c>
      <c r="Y272" t="s">
        <v>497</v>
      </c>
      <c r="Z272">
        <v>5656</v>
      </c>
      <c r="AA272" t="s">
        <v>498</v>
      </c>
    </row>
    <row r="273" spans="1:27" x14ac:dyDescent="0.25">
      <c r="A273" t="s">
        <v>313</v>
      </c>
      <c r="B273" s="1">
        <v>45955</v>
      </c>
      <c r="C273" s="2">
        <v>0.55138888888888893</v>
      </c>
      <c r="D273" t="s">
        <v>25</v>
      </c>
      <c r="E273" t="s">
        <v>48</v>
      </c>
      <c r="F273" t="s">
        <v>33</v>
      </c>
      <c r="G273" t="s">
        <v>293</v>
      </c>
      <c r="H273" t="s">
        <v>29</v>
      </c>
      <c r="I273" t="s">
        <v>29</v>
      </c>
      <c r="J273">
        <v>6</v>
      </c>
      <c r="K273">
        <v>0</v>
      </c>
      <c r="L273">
        <v>5</v>
      </c>
      <c r="M273">
        <v>247</v>
      </c>
      <c r="N273">
        <v>120</v>
      </c>
      <c r="O273">
        <v>0</v>
      </c>
      <c r="P273">
        <v>4670</v>
      </c>
      <c r="Q273">
        <v>1.24</v>
      </c>
      <c r="R273">
        <v>5809</v>
      </c>
      <c r="S273">
        <v>108</v>
      </c>
      <c r="T273">
        <v>31</v>
      </c>
      <c r="U273">
        <v>37</v>
      </c>
      <c r="V273">
        <v>9</v>
      </c>
      <c r="W273">
        <v>0</v>
      </c>
      <c r="X273">
        <v>5</v>
      </c>
      <c r="Y273" t="s">
        <v>497</v>
      </c>
      <c r="Z273">
        <v>185</v>
      </c>
      <c r="AA273" t="s">
        <v>498</v>
      </c>
    </row>
    <row r="274" spans="1:27" x14ac:dyDescent="0.25">
      <c r="A274" t="s">
        <v>314</v>
      </c>
      <c r="B274" s="1">
        <v>45956</v>
      </c>
      <c r="C274" s="2">
        <v>0.56874999999999998</v>
      </c>
      <c r="D274" t="s">
        <v>25</v>
      </c>
      <c r="E274" t="s">
        <v>32</v>
      </c>
      <c r="F274" t="s">
        <v>27</v>
      </c>
      <c r="G274" t="s">
        <v>293</v>
      </c>
      <c r="H274" t="s">
        <v>36</v>
      </c>
      <c r="I274" t="s">
        <v>29</v>
      </c>
      <c r="J274">
        <v>5</v>
      </c>
      <c r="K274">
        <v>0</v>
      </c>
      <c r="L274">
        <v>1</v>
      </c>
      <c r="M274">
        <v>206</v>
      </c>
      <c r="N274">
        <v>140</v>
      </c>
      <c r="O274">
        <v>248</v>
      </c>
      <c r="P274">
        <v>24180</v>
      </c>
      <c r="Q274">
        <v>1.42</v>
      </c>
      <c r="R274">
        <v>34282</v>
      </c>
      <c r="S274">
        <v>968</v>
      </c>
      <c r="T274">
        <v>188</v>
      </c>
      <c r="U274">
        <v>256</v>
      </c>
      <c r="V274">
        <v>138</v>
      </c>
      <c r="W274">
        <v>0</v>
      </c>
      <c r="X274">
        <v>25</v>
      </c>
      <c r="Y274" t="s">
        <v>497</v>
      </c>
      <c r="Z274">
        <v>1550</v>
      </c>
      <c r="AA274" t="s">
        <v>498</v>
      </c>
    </row>
    <row r="275" spans="1:27" x14ac:dyDescent="0.25">
      <c r="A275" t="s">
        <v>315</v>
      </c>
      <c r="B275" s="1">
        <v>45957</v>
      </c>
      <c r="C275" s="2">
        <v>0.52222222222222225</v>
      </c>
      <c r="D275" t="s">
        <v>25</v>
      </c>
      <c r="E275" t="s">
        <v>32</v>
      </c>
      <c r="F275" t="s">
        <v>42</v>
      </c>
      <c r="G275" t="s">
        <v>293</v>
      </c>
      <c r="H275" t="s">
        <v>29</v>
      </c>
      <c r="I275" t="s">
        <v>29</v>
      </c>
      <c r="J275">
        <v>15</v>
      </c>
      <c r="K275">
        <v>0</v>
      </c>
      <c r="L275">
        <v>1</v>
      </c>
      <c r="M275">
        <v>389</v>
      </c>
      <c r="N275">
        <v>69</v>
      </c>
      <c r="O275">
        <v>0</v>
      </c>
      <c r="P275">
        <v>9049</v>
      </c>
      <c r="Q275">
        <v>1.03</v>
      </c>
      <c r="R275">
        <v>9340</v>
      </c>
      <c r="S275">
        <v>188</v>
      </c>
      <c r="T275">
        <v>34</v>
      </c>
      <c r="U275">
        <v>50</v>
      </c>
      <c r="V275">
        <v>24</v>
      </c>
      <c r="W275">
        <v>0</v>
      </c>
      <c r="X275">
        <v>11</v>
      </c>
      <c r="Y275" t="s">
        <v>499</v>
      </c>
      <c r="Z275">
        <v>296</v>
      </c>
      <c r="AA275" t="s">
        <v>498</v>
      </c>
    </row>
    <row r="276" spans="1:27" x14ac:dyDescent="0.25">
      <c r="A276" t="s">
        <v>316</v>
      </c>
      <c r="B276" s="1">
        <v>45957</v>
      </c>
      <c r="C276" s="2">
        <v>0.55763888888888891</v>
      </c>
      <c r="D276" t="s">
        <v>25</v>
      </c>
      <c r="E276" t="s">
        <v>26</v>
      </c>
      <c r="F276" t="s">
        <v>45</v>
      </c>
      <c r="G276" t="s">
        <v>293</v>
      </c>
      <c r="H276" t="s">
        <v>29</v>
      </c>
      <c r="I276" t="s">
        <v>36</v>
      </c>
      <c r="J276">
        <v>6</v>
      </c>
      <c r="K276">
        <v>57</v>
      </c>
      <c r="L276">
        <v>1</v>
      </c>
      <c r="M276">
        <v>162</v>
      </c>
      <c r="N276">
        <v>154</v>
      </c>
      <c r="O276">
        <v>0</v>
      </c>
      <c r="P276">
        <v>8323</v>
      </c>
      <c r="Q276">
        <v>1.37</v>
      </c>
      <c r="R276">
        <v>11434</v>
      </c>
      <c r="S276">
        <v>913</v>
      </c>
      <c r="T276">
        <v>161</v>
      </c>
      <c r="U276">
        <v>276</v>
      </c>
      <c r="V276">
        <v>25</v>
      </c>
      <c r="W276">
        <v>248</v>
      </c>
      <c r="X276">
        <v>8</v>
      </c>
      <c r="Y276" t="s">
        <v>497</v>
      </c>
      <c r="Z276">
        <v>1623</v>
      </c>
      <c r="AA276" t="s">
        <v>498</v>
      </c>
    </row>
    <row r="277" spans="1:27" x14ac:dyDescent="0.25">
      <c r="A277" t="s">
        <v>317</v>
      </c>
      <c r="B277" s="1">
        <v>45957</v>
      </c>
      <c r="C277" s="2">
        <v>0.78333333333333333</v>
      </c>
      <c r="D277" t="s">
        <v>38</v>
      </c>
      <c r="E277" t="s">
        <v>26</v>
      </c>
      <c r="F277" t="s">
        <v>45</v>
      </c>
      <c r="G277" t="s">
        <v>293</v>
      </c>
      <c r="H277" t="s">
        <v>29</v>
      </c>
      <c r="I277" t="s">
        <v>36</v>
      </c>
      <c r="J277">
        <v>4</v>
      </c>
      <c r="K277">
        <v>15</v>
      </c>
      <c r="L277">
        <v>1</v>
      </c>
      <c r="M277">
        <v>190</v>
      </c>
      <c r="N277">
        <v>196</v>
      </c>
      <c r="O277">
        <v>0</v>
      </c>
      <c r="P277">
        <v>35777</v>
      </c>
      <c r="Q277">
        <v>1</v>
      </c>
      <c r="R277">
        <v>35777</v>
      </c>
      <c r="S277">
        <v>2212</v>
      </c>
      <c r="T277">
        <v>296</v>
      </c>
      <c r="U277">
        <v>613</v>
      </c>
      <c r="V277">
        <v>66</v>
      </c>
      <c r="W277">
        <v>1070</v>
      </c>
      <c r="X277">
        <v>9</v>
      </c>
      <c r="Y277" t="s">
        <v>497</v>
      </c>
      <c r="Z277">
        <v>4257</v>
      </c>
      <c r="AA277" t="s">
        <v>498</v>
      </c>
    </row>
    <row r="278" spans="1:27" x14ac:dyDescent="0.25">
      <c r="A278" t="s">
        <v>318</v>
      </c>
      <c r="B278" s="1">
        <v>45957</v>
      </c>
      <c r="C278" s="2">
        <v>0.84930555555555554</v>
      </c>
      <c r="D278" t="s">
        <v>35</v>
      </c>
      <c r="E278" t="s">
        <v>39</v>
      </c>
      <c r="F278" t="s">
        <v>33</v>
      </c>
      <c r="G278" t="s">
        <v>293</v>
      </c>
      <c r="H278" t="s">
        <v>29</v>
      </c>
      <c r="I278" t="s">
        <v>29</v>
      </c>
      <c r="J278">
        <v>4</v>
      </c>
      <c r="K278">
        <v>0</v>
      </c>
      <c r="L278">
        <v>9</v>
      </c>
      <c r="M278">
        <v>141</v>
      </c>
      <c r="N278">
        <v>161</v>
      </c>
      <c r="O278">
        <v>0</v>
      </c>
      <c r="P278">
        <v>7995</v>
      </c>
      <c r="Q278">
        <v>1.1299999999999999</v>
      </c>
      <c r="R278">
        <v>9064</v>
      </c>
      <c r="S278">
        <v>52</v>
      </c>
      <c r="T278">
        <v>21</v>
      </c>
      <c r="U278">
        <v>28</v>
      </c>
      <c r="V278">
        <v>0</v>
      </c>
      <c r="W278">
        <v>0</v>
      </c>
      <c r="X278">
        <v>5</v>
      </c>
      <c r="Y278" t="s">
        <v>497</v>
      </c>
      <c r="Z278">
        <v>101</v>
      </c>
      <c r="AA278" t="s">
        <v>498</v>
      </c>
    </row>
    <row r="279" spans="1:27" x14ac:dyDescent="0.25">
      <c r="A279" t="s">
        <v>319</v>
      </c>
      <c r="B279" s="1">
        <v>45959</v>
      </c>
      <c r="C279" s="2">
        <v>0.46319444444444446</v>
      </c>
      <c r="D279" t="s">
        <v>25</v>
      </c>
      <c r="E279" t="s">
        <v>48</v>
      </c>
      <c r="F279" t="s">
        <v>33</v>
      </c>
      <c r="G279" t="s">
        <v>293</v>
      </c>
      <c r="H279" t="s">
        <v>29</v>
      </c>
      <c r="I279" t="s">
        <v>29</v>
      </c>
      <c r="J279">
        <v>5</v>
      </c>
      <c r="K279">
        <v>0</v>
      </c>
      <c r="L279">
        <v>6</v>
      </c>
      <c r="M279">
        <v>108</v>
      </c>
      <c r="N279">
        <v>86</v>
      </c>
      <c r="O279">
        <v>0</v>
      </c>
      <c r="P279">
        <v>5857</v>
      </c>
      <c r="Q279">
        <v>1</v>
      </c>
      <c r="R279">
        <v>5885</v>
      </c>
      <c r="S279">
        <v>74</v>
      </c>
      <c r="T279">
        <v>20</v>
      </c>
      <c r="U279">
        <v>24</v>
      </c>
      <c r="V279">
        <v>5</v>
      </c>
      <c r="W279">
        <v>0</v>
      </c>
      <c r="X279">
        <v>14</v>
      </c>
      <c r="Y279" t="s">
        <v>497</v>
      </c>
      <c r="Z279">
        <v>123</v>
      </c>
      <c r="AA279" t="s">
        <v>498</v>
      </c>
    </row>
    <row r="280" spans="1:27" x14ac:dyDescent="0.25">
      <c r="A280" t="s">
        <v>320</v>
      </c>
      <c r="B280" s="1">
        <v>45960</v>
      </c>
      <c r="C280" s="2">
        <v>0.43333333333333335</v>
      </c>
      <c r="D280" t="s">
        <v>31</v>
      </c>
      <c r="E280" t="s">
        <v>48</v>
      </c>
      <c r="F280" t="s">
        <v>27</v>
      </c>
      <c r="G280" t="s">
        <v>293</v>
      </c>
      <c r="H280" t="s">
        <v>29</v>
      </c>
      <c r="I280" t="s">
        <v>36</v>
      </c>
      <c r="J280">
        <v>3</v>
      </c>
      <c r="K280">
        <v>0</v>
      </c>
      <c r="L280">
        <v>1</v>
      </c>
      <c r="M280">
        <v>114</v>
      </c>
      <c r="N280">
        <v>66</v>
      </c>
      <c r="O280">
        <v>0</v>
      </c>
      <c r="P280">
        <v>39584</v>
      </c>
      <c r="Q280">
        <v>1.06</v>
      </c>
      <c r="R280">
        <v>42156</v>
      </c>
      <c r="S280">
        <v>499</v>
      </c>
      <c r="T280">
        <v>122</v>
      </c>
      <c r="U280">
        <v>191</v>
      </c>
      <c r="V280">
        <v>36</v>
      </c>
      <c r="W280">
        <v>915</v>
      </c>
      <c r="X280">
        <v>32</v>
      </c>
      <c r="Y280" t="s">
        <v>497</v>
      </c>
      <c r="Z280">
        <v>1763</v>
      </c>
      <c r="AA280" t="s">
        <v>498</v>
      </c>
    </row>
    <row r="281" spans="1:27" x14ac:dyDescent="0.25">
      <c r="A281" t="s">
        <v>321</v>
      </c>
      <c r="B281" s="1">
        <v>45960</v>
      </c>
      <c r="C281" s="2">
        <v>0.70347222222222228</v>
      </c>
      <c r="D281" t="s">
        <v>38</v>
      </c>
      <c r="E281" t="s">
        <v>39</v>
      </c>
      <c r="F281" t="s">
        <v>42</v>
      </c>
      <c r="G281" t="s">
        <v>293</v>
      </c>
      <c r="H281" t="s">
        <v>29</v>
      </c>
      <c r="I281" t="s">
        <v>29</v>
      </c>
      <c r="J281">
        <v>3</v>
      </c>
      <c r="K281">
        <v>0</v>
      </c>
      <c r="L281">
        <v>1</v>
      </c>
      <c r="M281">
        <v>375</v>
      </c>
      <c r="N281">
        <v>43</v>
      </c>
      <c r="O281">
        <v>0</v>
      </c>
      <c r="P281">
        <v>3263</v>
      </c>
      <c r="Q281">
        <v>1.1399999999999999</v>
      </c>
      <c r="R281">
        <v>3705</v>
      </c>
      <c r="S281">
        <v>66</v>
      </c>
      <c r="T281">
        <v>27</v>
      </c>
      <c r="U281">
        <v>27</v>
      </c>
      <c r="V281">
        <v>0</v>
      </c>
      <c r="W281">
        <v>0</v>
      </c>
      <c r="X281">
        <v>6</v>
      </c>
      <c r="Y281" t="s">
        <v>499</v>
      </c>
      <c r="Z281">
        <v>120</v>
      </c>
      <c r="AA281" t="s">
        <v>498</v>
      </c>
    </row>
    <row r="282" spans="1:27" x14ac:dyDescent="0.25">
      <c r="A282" t="s">
        <v>322</v>
      </c>
      <c r="B282" s="1">
        <v>45960</v>
      </c>
      <c r="C282" s="2">
        <v>0.70902777777777781</v>
      </c>
      <c r="D282" t="s">
        <v>38</v>
      </c>
      <c r="E282" t="s">
        <v>39</v>
      </c>
      <c r="F282" t="s">
        <v>42</v>
      </c>
      <c r="G282" t="s">
        <v>293</v>
      </c>
      <c r="H282" t="s">
        <v>36</v>
      </c>
      <c r="I282" t="s">
        <v>29</v>
      </c>
      <c r="J282">
        <v>1</v>
      </c>
      <c r="K282">
        <v>0</v>
      </c>
      <c r="L282">
        <v>1</v>
      </c>
      <c r="M282">
        <v>493</v>
      </c>
      <c r="N282">
        <v>54</v>
      </c>
      <c r="O282">
        <v>346</v>
      </c>
      <c r="P282">
        <v>28062</v>
      </c>
      <c r="Q282">
        <v>1.79</v>
      </c>
      <c r="R282">
        <v>50276</v>
      </c>
      <c r="S282">
        <v>946</v>
      </c>
      <c r="T282">
        <v>336</v>
      </c>
      <c r="U282">
        <v>402</v>
      </c>
      <c r="V282">
        <v>0</v>
      </c>
      <c r="W282">
        <v>0</v>
      </c>
      <c r="X282">
        <v>7</v>
      </c>
      <c r="Y282" t="s">
        <v>499</v>
      </c>
      <c r="Z282">
        <v>1684</v>
      </c>
      <c r="AA282" t="s">
        <v>498</v>
      </c>
    </row>
    <row r="283" spans="1:27" x14ac:dyDescent="0.25">
      <c r="A283" t="s">
        <v>323</v>
      </c>
      <c r="B283" s="1">
        <v>45960</v>
      </c>
      <c r="C283" s="2">
        <v>0.8305555555555556</v>
      </c>
      <c r="D283" t="s">
        <v>35</v>
      </c>
      <c r="E283" t="s">
        <v>39</v>
      </c>
      <c r="F283" t="s">
        <v>27</v>
      </c>
      <c r="G283" t="s">
        <v>293</v>
      </c>
      <c r="H283" t="s">
        <v>36</v>
      </c>
      <c r="I283" t="s">
        <v>29</v>
      </c>
      <c r="J283">
        <v>2</v>
      </c>
      <c r="K283">
        <v>0</v>
      </c>
      <c r="L283">
        <v>1</v>
      </c>
      <c r="M283">
        <v>234</v>
      </c>
      <c r="N283">
        <v>92</v>
      </c>
      <c r="O283">
        <v>285</v>
      </c>
      <c r="P283">
        <v>25835</v>
      </c>
      <c r="Q283">
        <v>1.59</v>
      </c>
      <c r="R283">
        <v>41083</v>
      </c>
      <c r="S283">
        <v>693</v>
      </c>
      <c r="T283">
        <v>223</v>
      </c>
      <c r="U283">
        <v>326</v>
      </c>
      <c r="V283">
        <v>0</v>
      </c>
      <c r="W283">
        <v>0</v>
      </c>
      <c r="X283">
        <v>61</v>
      </c>
      <c r="Y283" t="s">
        <v>497</v>
      </c>
      <c r="Z283">
        <v>1242</v>
      </c>
      <c r="AA283" t="s">
        <v>498</v>
      </c>
    </row>
    <row r="284" spans="1:27" x14ac:dyDescent="0.25">
      <c r="A284" t="s">
        <v>324</v>
      </c>
      <c r="B284" s="1">
        <v>45961</v>
      </c>
      <c r="C284" s="2">
        <v>0.42638888888888887</v>
      </c>
      <c r="D284" t="s">
        <v>31</v>
      </c>
      <c r="E284" t="s">
        <v>26</v>
      </c>
      <c r="F284" t="s">
        <v>45</v>
      </c>
      <c r="G284" t="s">
        <v>293</v>
      </c>
      <c r="H284" t="s">
        <v>36</v>
      </c>
      <c r="I284" t="s">
        <v>36</v>
      </c>
      <c r="J284">
        <v>3</v>
      </c>
      <c r="K284">
        <v>42</v>
      </c>
      <c r="L284">
        <v>1</v>
      </c>
      <c r="M284">
        <v>83</v>
      </c>
      <c r="N284">
        <v>248</v>
      </c>
      <c r="O284">
        <v>282</v>
      </c>
      <c r="P284">
        <v>28637</v>
      </c>
      <c r="Q284">
        <v>1.55</v>
      </c>
      <c r="R284">
        <v>44442</v>
      </c>
      <c r="S284">
        <v>3600</v>
      </c>
      <c r="T284">
        <v>595</v>
      </c>
      <c r="U284">
        <v>857</v>
      </c>
      <c r="V284">
        <v>115</v>
      </c>
      <c r="W284">
        <v>1279</v>
      </c>
      <c r="X284">
        <v>38</v>
      </c>
      <c r="Y284" t="s">
        <v>501</v>
      </c>
      <c r="Z284">
        <v>6446</v>
      </c>
      <c r="AA284" t="s">
        <v>498</v>
      </c>
    </row>
    <row r="285" spans="1:27" x14ac:dyDescent="0.25">
      <c r="A285" t="s">
        <v>325</v>
      </c>
      <c r="B285" s="1">
        <v>45961</v>
      </c>
      <c r="C285" s="2">
        <v>0.64861111111111114</v>
      </c>
      <c r="D285" t="s">
        <v>38</v>
      </c>
      <c r="E285" t="s">
        <v>32</v>
      </c>
      <c r="F285" t="s">
        <v>27</v>
      </c>
      <c r="G285" t="s">
        <v>293</v>
      </c>
      <c r="H285" t="s">
        <v>29</v>
      </c>
      <c r="I285" t="s">
        <v>29</v>
      </c>
      <c r="J285">
        <v>6</v>
      </c>
      <c r="K285">
        <v>0</v>
      </c>
      <c r="L285">
        <v>1</v>
      </c>
      <c r="M285">
        <v>225</v>
      </c>
      <c r="N285">
        <v>140</v>
      </c>
      <c r="O285">
        <v>0</v>
      </c>
      <c r="P285">
        <v>5193</v>
      </c>
      <c r="Q285">
        <v>1.06</v>
      </c>
      <c r="R285">
        <v>5503</v>
      </c>
      <c r="S285">
        <v>174</v>
      </c>
      <c r="T285">
        <v>40</v>
      </c>
      <c r="U285">
        <v>46</v>
      </c>
      <c r="V285">
        <v>22</v>
      </c>
      <c r="W285">
        <v>0</v>
      </c>
      <c r="X285">
        <v>0</v>
      </c>
      <c r="Y285" t="s">
        <v>497</v>
      </c>
      <c r="Z285">
        <v>282</v>
      </c>
      <c r="AA285" t="s">
        <v>498</v>
      </c>
    </row>
    <row r="286" spans="1:27" x14ac:dyDescent="0.25">
      <c r="A286" t="s">
        <v>326</v>
      </c>
      <c r="B286" s="1">
        <v>45961</v>
      </c>
      <c r="C286" s="2">
        <v>0.81388888888888888</v>
      </c>
      <c r="D286" t="s">
        <v>35</v>
      </c>
      <c r="E286" t="s">
        <v>26</v>
      </c>
      <c r="F286" t="s">
        <v>33</v>
      </c>
      <c r="G286" t="s">
        <v>293</v>
      </c>
      <c r="H286" t="s">
        <v>29</v>
      </c>
      <c r="I286" t="s">
        <v>29</v>
      </c>
      <c r="J286">
        <v>3</v>
      </c>
      <c r="K286">
        <v>0</v>
      </c>
      <c r="L286">
        <v>10</v>
      </c>
      <c r="M286">
        <v>180</v>
      </c>
      <c r="N286">
        <v>77</v>
      </c>
      <c r="O286">
        <v>0</v>
      </c>
      <c r="P286">
        <v>37147</v>
      </c>
      <c r="Q286">
        <v>1.1200000000000001</v>
      </c>
      <c r="R286">
        <v>41546</v>
      </c>
      <c r="S286">
        <v>1062</v>
      </c>
      <c r="T286">
        <v>141</v>
      </c>
      <c r="U286">
        <v>278</v>
      </c>
      <c r="V286">
        <v>27</v>
      </c>
      <c r="W286">
        <v>0</v>
      </c>
      <c r="X286">
        <v>75</v>
      </c>
      <c r="Y286" t="s">
        <v>497</v>
      </c>
      <c r="Z286">
        <v>1508</v>
      </c>
      <c r="AA286" t="s">
        <v>498</v>
      </c>
    </row>
    <row r="287" spans="1:27" x14ac:dyDescent="0.25">
      <c r="A287" t="s">
        <v>327</v>
      </c>
      <c r="B287" s="1">
        <v>45963</v>
      </c>
      <c r="C287" s="2">
        <v>0.31111111111111112</v>
      </c>
      <c r="D287" t="s">
        <v>31</v>
      </c>
      <c r="E287" t="s">
        <v>32</v>
      </c>
      <c r="F287" t="s">
        <v>45</v>
      </c>
      <c r="G287" t="s">
        <v>293</v>
      </c>
      <c r="H287" t="s">
        <v>29</v>
      </c>
      <c r="I287" t="s">
        <v>36</v>
      </c>
      <c r="J287">
        <v>7</v>
      </c>
      <c r="K287">
        <v>35</v>
      </c>
      <c r="L287">
        <v>1</v>
      </c>
      <c r="M287">
        <v>142</v>
      </c>
      <c r="N287">
        <v>127</v>
      </c>
      <c r="O287">
        <v>0</v>
      </c>
      <c r="P287">
        <v>6172</v>
      </c>
      <c r="Q287">
        <v>1.33</v>
      </c>
      <c r="R287">
        <v>8198</v>
      </c>
      <c r="S287">
        <v>344</v>
      </c>
      <c r="T287">
        <v>58</v>
      </c>
      <c r="U287">
        <v>86</v>
      </c>
      <c r="V287">
        <v>43</v>
      </c>
      <c r="W287">
        <v>216</v>
      </c>
      <c r="X287">
        <v>7</v>
      </c>
      <c r="Y287" t="s">
        <v>497</v>
      </c>
      <c r="Z287">
        <v>747</v>
      </c>
      <c r="AA287" t="s">
        <v>498</v>
      </c>
    </row>
    <row r="288" spans="1:27" x14ac:dyDescent="0.25">
      <c r="A288" t="s">
        <v>328</v>
      </c>
      <c r="B288" s="1">
        <v>45963</v>
      </c>
      <c r="C288" s="2">
        <v>0.57708333333333328</v>
      </c>
      <c r="D288" t="s">
        <v>25</v>
      </c>
      <c r="E288" t="s">
        <v>32</v>
      </c>
      <c r="F288" t="s">
        <v>42</v>
      </c>
      <c r="G288" t="s">
        <v>293</v>
      </c>
      <c r="H288" t="s">
        <v>36</v>
      </c>
      <c r="I288" t="s">
        <v>29</v>
      </c>
      <c r="J288">
        <v>15</v>
      </c>
      <c r="K288">
        <v>0</v>
      </c>
      <c r="L288">
        <v>1</v>
      </c>
      <c r="M288">
        <v>495</v>
      </c>
      <c r="N288">
        <v>118</v>
      </c>
      <c r="O288">
        <v>370</v>
      </c>
      <c r="P288">
        <v>45613</v>
      </c>
      <c r="Q288">
        <v>1.71</v>
      </c>
      <c r="R288">
        <v>78145</v>
      </c>
      <c r="S288">
        <v>228</v>
      </c>
      <c r="T288">
        <v>47</v>
      </c>
      <c r="U288">
        <v>57</v>
      </c>
      <c r="V288">
        <v>32</v>
      </c>
      <c r="W288">
        <v>0</v>
      </c>
      <c r="X288">
        <v>20</v>
      </c>
      <c r="Y288" t="s">
        <v>499</v>
      </c>
      <c r="Z288">
        <v>364</v>
      </c>
      <c r="AA288" t="s">
        <v>498</v>
      </c>
    </row>
    <row r="289" spans="1:27" x14ac:dyDescent="0.25">
      <c r="A289" t="s">
        <v>329</v>
      </c>
      <c r="B289" s="1">
        <v>45965</v>
      </c>
      <c r="C289" s="2">
        <v>0.67083333333333328</v>
      </c>
      <c r="D289" t="s">
        <v>38</v>
      </c>
      <c r="E289" t="s">
        <v>32</v>
      </c>
      <c r="F289" t="s">
        <v>27</v>
      </c>
      <c r="G289" t="s">
        <v>293</v>
      </c>
      <c r="H289" t="s">
        <v>29</v>
      </c>
      <c r="I289" t="s">
        <v>29</v>
      </c>
      <c r="J289">
        <v>13</v>
      </c>
      <c r="K289">
        <v>0</v>
      </c>
      <c r="L289">
        <v>1</v>
      </c>
      <c r="M289">
        <v>237</v>
      </c>
      <c r="N289">
        <v>77</v>
      </c>
      <c r="O289">
        <v>0</v>
      </c>
      <c r="P289">
        <v>6876</v>
      </c>
      <c r="Q289">
        <v>1.1499999999999999</v>
      </c>
      <c r="R289">
        <v>7936</v>
      </c>
      <c r="S289">
        <v>231</v>
      </c>
      <c r="T289">
        <v>41</v>
      </c>
      <c r="U289">
        <v>49</v>
      </c>
      <c r="V289">
        <v>29</v>
      </c>
      <c r="W289">
        <v>0</v>
      </c>
      <c r="X289">
        <v>20</v>
      </c>
      <c r="Y289" t="s">
        <v>497</v>
      </c>
      <c r="Z289">
        <v>350</v>
      </c>
      <c r="AA289" t="s">
        <v>498</v>
      </c>
    </row>
    <row r="290" spans="1:27" x14ac:dyDescent="0.25">
      <c r="A290" t="s">
        <v>330</v>
      </c>
      <c r="B290" s="1">
        <v>45965</v>
      </c>
      <c r="C290" s="2">
        <v>0.69374999999999998</v>
      </c>
      <c r="D290" t="s">
        <v>38</v>
      </c>
      <c r="E290" t="s">
        <v>39</v>
      </c>
      <c r="F290" t="s">
        <v>45</v>
      </c>
      <c r="G290" t="s">
        <v>293</v>
      </c>
      <c r="H290" t="s">
        <v>29</v>
      </c>
      <c r="I290" t="s">
        <v>36</v>
      </c>
      <c r="J290">
        <v>4</v>
      </c>
      <c r="K290">
        <v>47</v>
      </c>
      <c r="L290">
        <v>1</v>
      </c>
      <c r="M290">
        <v>108</v>
      </c>
      <c r="N290">
        <v>286</v>
      </c>
      <c r="O290">
        <v>0</v>
      </c>
      <c r="P290">
        <v>3133</v>
      </c>
      <c r="Q290">
        <v>1.29</v>
      </c>
      <c r="R290">
        <v>4028</v>
      </c>
      <c r="S290">
        <v>97</v>
      </c>
      <c r="T290">
        <v>41</v>
      </c>
      <c r="U290">
        <v>47</v>
      </c>
      <c r="V290">
        <v>0</v>
      </c>
      <c r="W290">
        <v>95</v>
      </c>
      <c r="X290">
        <v>3</v>
      </c>
      <c r="Y290" t="s">
        <v>497</v>
      </c>
      <c r="Z290">
        <v>280</v>
      </c>
      <c r="AA290" t="s">
        <v>498</v>
      </c>
    </row>
    <row r="291" spans="1:27" x14ac:dyDescent="0.25">
      <c r="A291" t="s">
        <v>331</v>
      </c>
      <c r="B291" s="1">
        <v>45965</v>
      </c>
      <c r="C291" s="2">
        <v>0.75972222222222219</v>
      </c>
      <c r="D291" t="s">
        <v>38</v>
      </c>
      <c r="E291" t="s">
        <v>39</v>
      </c>
      <c r="F291" t="s">
        <v>33</v>
      </c>
      <c r="G291" t="s">
        <v>293</v>
      </c>
      <c r="H291" t="s">
        <v>29</v>
      </c>
      <c r="I291" t="s">
        <v>36</v>
      </c>
      <c r="J291">
        <v>1</v>
      </c>
      <c r="K291">
        <v>0</v>
      </c>
      <c r="L291">
        <v>7</v>
      </c>
      <c r="M291">
        <v>265</v>
      </c>
      <c r="N291">
        <v>277</v>
      </c>
      <c r="O291">
        <v>0</v>
      </c>
      <c r="P291">
        <v>8003</v>
      </c>
      <c r="Q291">
        <v>1.24</v>
      </c>
      <c r="R291">
        <v>9952</v>
      </c>
      <c r="S291">
        <v>68</v>
      </c>
      <c r="T291">
        <v>25</v>
      </c>
      <c r="U291">
        <v>29</v>
      </c>
      <c r="V291">
        <v>0</v>
      </c>
      <c r="W291">
        <v>267</v>
      </c>
      <c r="X291">
        <v>5</v>
      </c>
      <c r="Y291" t="s">
        <v>499</v>
      </c>
      <c r="Z291">
        <v>389</v>
      </c>
      <c r="AA291" t="s">
        <v>498</v>
      </c>
    </row>
    <row r="292" spans="1:27" x14ac:dyDescent="0.25">
      <c r="A292" t="s">
        <v>332</v>
      </c>
      <c r="B292" s="1">
        <v>45966</v>
      </c>
      <c r="C292" s="2">
        <v>0.60486111111111107</v>
      </c>
      <c r="D292" t="s">
        <v>25</v>
      </c>
      <c r="E292" t="s">
        <v>32</v>
      </c>
      <c r="F292" t="s">
        <v>27</v>
      </c>
      <c r="G292" t="s">
        <v>293</v>
      </c>
      <c r="H292" t="s">
        <v>29</v>
      </c>
      <c r="I292" t="s">
        <v>29</v>
      </c>
      <c r="J292">
        <v>7</v>
      </c>
      <c r="K292">
        <v>0</v>
      </c>
      <c r="L292">
        <v>1</v>
      </c>
      <c r="M292">
        <v>199</v>
      </c>
      <c r="N292">
        <v>143</v>
      </c>
      <c r="O292">
        <v>0</v>
      </c>
      <c r="P292">
        <v>8457</v>
      </c>
      <c r="Q292">
        <v>1.21</v>
      </c>
      <c r="R292">
        <v>10238</v>
      </c>
      <c r="S292">
        <v>522</v>
      </c>
      <c r="T292">
        <v>91</v>
      </c>
      <c r="U292">
        <v>117</v>
      </c>
      <c r="V292">
        <v>52</v>
      </c>
      <c r="W292">
        <v>0</v>
      </c>
      <c r="X292">
        <v>13</v>
      </c>
      <c r="Y292" t="s">
        <v>497</v>
      </c>
      <c r="Z292">
        <v>782</v>
      </c>
      <c r="AA292" t="s">
        <v>498</v>
      </c>
    </row>
    <row r="293" spans="1:27" x14ac:dyDescent="0.25">
      <c r="A293" t="s">
        <v>333</v>
      </c>
      <c r="B293" s="1">
        <v>45971</v>
      </c>
      <c r="C293" s="2">
        <v>0.38263888888888886</v>
      </c>
      <c r="D293" t="s">
        <v>31</v>
      </c>
      <c r="E293" t="s">
        <v>26</v>
      </c>
      <c r="F293" t="s">
        <v>42</v>
      </c>
      <c r="G293" t="s">
        <v>293</v>
      </c>
      <c r="H293" t="s">
        <v>36</v>
      </c>
      <c r="I293" t="s">
        <v>29</v>
      </c>
      <c r="J293">
        <v>4</v>
      </c>
      <c r="K293">
        <v>0</v>
      </c>
      <c r="L293">
        <v>1</v>
      </c>
      <c r="M293">
        <v>167</v>
      </c>
      <c r="N293">
        <v>63</v>
      </c>
      <c r="O293">
        <v>363</v>
      </c>
      <c r="P293">
        <v>47160</v>
      </c>
      <c r="Q293">
        <v>1.5</v>
      </c>
      <c r="R293">
        <v>70594</v>
      </c>
      <c r="S293">
        <v>1475</v>
      </c>
      <c r="T293">
        <v>221</v>
      </c>
      <c r="U293">
        <v>403</v>
      </c>
      <c r="V293">
        <v>47</v>
      </c>
      <c r="W293">
        <v>0</v>
      </c>
      <c r="X293">
        <v>215</v>
      </c>
      <c r="Y293" t="s">
        <v>497</v>
      </c>
      <c r="Z293">
        <v>2146</v>
      </c>
      <c r="AA293" t="s">
        <v>498</v>
      </c>
    </row>
    <row r="294" spans="1:27" x14ac:dyDescent="0.25">
      <c r="A294" t="s">
        <v>334</v>
      </c>
      <c r="B294" s="1">
        <v>45972</v>
      </c>
      <c r="C294" s="2">
        <v>0.51666666666666672</v>
      </c>
      <c r="D294" t="s">
        <v>25</v>
      </c>
      <c r="E294" t="s">
        <v>32</v>
      </c>
      <c r="F294" t="s">
        <v>45</v>
      </c>
      <c r="G294" t="s">
        <v>293</v>
      </c>
      <c r="H294" t="s">
        <v>29</v>
      </c>
      <c r="I294" t="s">
        <v>29</v>
      </c>
      <c r="J294">
        <v>12</v>
      </c>
      <c r="K294">
        <v>57</v>
      </c>
      <c r="L294">
        <v>1</v>
      </c>
      <c r="M294">
        <v>84</v>
      </c>
      <c r="N294">
        <v>208</v>
      </c>
      <c r="O294">
        <v>0</v>
      </c>
      <c r="P294">
        <v>15514</v>
      </c>
      <c r="Q294">
        <v>1</v>
      </c>
      <c r="R294">
        <v>15514</v>
      </c>
      <c r="S294">
        <v>348</v>
      </c>
      <c r="T294">
        <v>76</v>
      </c>
      <c r="U294">
        <v>86</v>
      </c>
      <c r="V294">
        <v>51</v>
      </c>
      <c r="W294">
        <v>0</v>
      </c>
      <c r="X294">
        <v>16</v>
      </c>
      <c r="Y294" t="s">
        <v>501</v>
      </c>
      <c r="Z294">
        <v>561</v>
      </c>
      <c r="AA294" t="s">
        <v>498</v>
      </c>
    </row>
    <row r="295" spans="1:27" x14ac:dyDescent="0.25">
      <c r="A295" t="s">
        <v>335</v>
      </c>
      <c r="B295" s="1">
        <v>45972</v>
      </c>
      <c r="C295" s="2">
        <v>0.68055555555555558</v>
      </c>
      <c r="D295" t="s">
        <v>38</v>
      </c>
      <c r="E295" t="s">
        <v>39</v>
      </c>
      <c r="F295" t="s">
        <v>33</v>
      </c>
      <c r="G295" t="s">
        <v>293</v>
      </c>
      <c r="H295" t="s">
        <v>29</v>
      </c>
      <c r="I295" t="s">
        <v>29</v>
      </c>
      <c r="J295">
        <v>4</v>
      </c>
      <c r="K295">
        <v>0</v>
      </c>
      <c r="L295">
        <v>7</v>
      </c>
      <c r="M295">
        <v>248</v>
      </c>
      <c r="N295">
        <v>253</v>
      </c>
      <c r="O295">
        <v>0</v>
      </c>
      <c r="P295">
        <v>9181</v>
      </c>
      <c r="Q295">
        <v>1.02</v>
      </c>
      <c r="R295">
        <v>9362</v>
      </c>
      <c r="S295">
        <v>196</v>
      </c>
      <c r="T295">
        <v>63</v>
      </c>
      <c r="U295">
        <v>97</v>
      </c>
      <c r="V295">
        <v>0</v>
      </c>
      <c r="W295">
        <v>0</v>
      </c>
      <c r="X295">
        <v>10</v>
      </c>
      <c r="Y295" t="s">
        <v>497</v>
      </c>
      <c r="Z295">
        <v>356</v>
      </c>
      <c r="AA295" t="s">
        <v>498</v>
      </c>
    </row>
    <row r="296" spans="1:27" x14ac:dyDescent="0.25">
      <c r="A296" t="s">
        <v>336</v>
      </c>
      <c r="B296" s="1">
        <v>45972</v>
      </c>
      <c r="C296" s="2">
        <v>0.91736111111111107</v>
      </c>
      <c r="D296" t="s">
        <v>35</v>
      </c>
      <c r="E296" t="s">
        <v>32</v>
      </c>
      <c r="F296" t="s">
        <v>27</v>
      </c>
      <c r="G296" t="s">
        <v>293</v>
      </c>
      <c r="H296" t="s">
        <v>29</v>
      </c>
      <c r="I296" t="s">
        <v>36</v>
      </c>
      <c r="J296">
        <v>14</v>
      </c>
      <c r="K296">
        <v>0</v>
      </c>
      <c r="L296">
        <v>1</v>
      </c>
      <c r="M296">
        <v>170</v>
      </c>
      <c r="N296">
        <v>65</v>
      </c>
      <c r="O296">
        <v>0</v>
      </c>
      <c r="P296">
        <v>9308</v>
      </c>
      <c r="Q296">
        <v>1.1499999999999999</v>
      </c>
      <c r="R296">
        <v>10677</v>
      </c>
      <c r="S296">
        <v>236</v>
      </c>
      <c r="T296">
        <v>42</v>
      </c>
      <c r="U296">
        <v>50</v>
      </c>
      <c r="V296">
        <v>27</v>
      </c>
      <c r="W296">
        <v>258</v>
      </c>
      <c r="X296">
        <v>11</v>
      </c>
      <c r="Y296" t="s">
        <v>497</v>
      </c>
      <c r="Z296">
        <v>613</v>
      </c>
      <c r="AA296" t="s">
        <v>498</v>
      </c>
    </row>
    <row r="297" spans="1:27" x14ac:dyDescent="0.25">
      <c r="A297" t="s">
        <v>337</v>
      </c>
      <c r="B297" s="1">
        <v>45972</v>
      </c>
      <c r="C297" s="2">
        <v>0.95763888888888893</v>
      </c>
      <c r="D297" t="s">
        <v>35</v>
      </c>
      <c r="E297" t="s">
        <v>26</v>
      </c>
      <c r="F297" t="s">
        <v>45</v>
      </c>
      <c r="G297" t="s">
        <v>293</v>
      </c>
      <c r="H297" t="s">
        <v>29</v>
      </c>
      <c r="I297" t="s">
        <v>29</v>
      </c>
      <c r="J297">
        <v>5</v>
      </c>
      <c r="K297">
        <v>56</v>
      </c>
      <c r="L297">
        <v>1</v>
      </c>
      <c r="M297">
        <v>125</v>
      </c>
      <c r="N297">
        <v>347</v>
      </c>
      <c r="O297">
        <v>0</v>
      </c>
      <c r="P297">
        <v>22786</v>
      </c>
      <c r="Q297">
        <v>1</v>
      </c>
      <c r="R297">
        <v>22786</v>
      </c>
      <c r="S297">
        <v>1920</v>
      </c>
      <c r="T297">
        <v>299</v>
      </c>
      <c r="U297">
        <v>493</v>
      </c>
      <c r="V297">
        <v>56</v>
      </c>
      <c r="W297">
        <v>0</v>
      </c>
      <c r="X297">
        <v>38</v>
      </c>
      <c r="Y297" t="s">
        <v>497</v>
      </c>
      <c r="Z297">
        <v>2768</v>
      </c>
      <c r="AA297" t="s">
        <v>498</v>
      </c>
    </row>
    <row r="298" spans="1:27" x14ac:dyDescent="0.25">
      <c r="A298" t="s">
        <v>338</v>
      </c>
      <c r="B298" s="1">
        <v>45973</v>
      </c>
      <c r="C298" s="2">
        <v>0.85555555555555551</v>
      </c>
      <c r="D298" t="s">
        <v>35</v>
      </c>
      <c r="E298" t="s">
        <v>26</v>
      </c>
      <c r="F298" t="s">
        <v>45</v>
      </c>
      <c r="G298" t="s">
        <v>293</v>
      </c>
      <c r="H298" t="s">
        <v>29</v>
      </c>
      <c r="I298" t="s">
        <v>36</v>
      </c>
      <c r="J298">
        <v>4</v>
      </c>
      <c r="K298">
        <v>60</v>
      </c>
      <c r="L298">
        <v>1</v>
      </c>
      <c r="M298">
        <v>99</v>
      </c>
      <c r="N298">
        <v>195</v>
      </c>
      <c r="O298">
        <v>0</v>
      </c>
      <c r="P298">
        <v>11526</v>
      </c>
      <c r="Q298">
        <v>1.1399999999999999</v>
      </c>
      <c r="R298">
        <v>13169</v>
      </c>
      <c r="S298">
        <v>1029</v>
      </c>
      <c r="T298">
        <v>174</v>
      </c>
      <c r="U298">
        <v>331</v>
      </c>
      <c r="V298">
        <v>36</v>
      </c>
      <c r="W298">
        <v>398</v>
      </c>
      <c r="X298">
        <v>26</v>
      </c>
      <c r="Y298" t="s">
        <v>501</v>
      </c>
      <c r="Z298">
        <v>1968</v>
      </c>
      <c r="AA298" t="s">
        <v>498</v>
      </c>
    </row>
    <row r="299" spans="1:27" x14ac:dyDescent="0.25">
      <c r="A299" t="s">
        <v>339</v>
      </c>
      <c r="B299" s="1">
        <v>45977</v>
      </c>
      <c r="C299" s="2">
        <v>0.50486111111111109</v>
      </c>
      <c r="D299" t="s">
        <v>25</v>
      </c>
      <c r="E299" t="s">
        <v>39</v>
      </c>
      <c r="F299" t="s">
        <v>33</v>
      </c>
      <c r="G299" t="s">
        <v>293</v>
      </c>
      <c r="H299" t="s">
        <v>29</v>
      </c>
      <c r="I299" t="s">
        <v>29</v>
      </c>
      <c r="J299">
        <v>2</v>
      </c>
      <c r="K299">
        <v>0</v>
      </c>
      <c r="L299">
        <v>5</v>
      </c>
      <c r="M299">
        <v>271</v>
      </c>
      <c r="N299">
        <v>78</v>
      </c>
      <c r="O299">
        <v>0</v>
      </c>
      <c r="P299">
        <v>6668</v>
      </c>
      <c r="Q299">
        <v>1.18</v>
      </c>
      <c r="R299">
        <v>7841</v>
      </c>
      <c r="S299">
        <v>84</v>
      </c>
      <c r="T299">
        <v>30</v>
      </c>
      <c r="U299">
        <v>42</v>
      </c>
      <c r="V299">
        <v>0</v>
      </c>
      <c r="W299">
        <v>0</v>
      </c>
      <c r="X299">
        <v>5</v>
      </c>
      <c r="Y299" t="s">
        <v>499</v>
      </c>
      <c r="Z299">
        <v>156</v>
      </c>
      <c r="AA299" t="s">
        <v>498</v>
      </c>
    </row>
    <row r="300" spans="1:27" x14ac:dyDescent="0.25">
      <c r="A300" t="s">
        <v>340</v>
      </c>
      <c r="B300" s="1">
        <v>45977</v>
      </c>
      <c r="C300" s="2">
        <v>0.69236111111111109</v>
      </c>
      <c r="D300" t="s">
        <v>38</v>
      </c>
      <c r="E300" t="s">
        <v>48</v>
      </c>
      <c r="F300" t="s">
        <v>45</v>
      </c>
      <c r="G300" t="s">
        <v>293</v>
      </c>
      <c r="H300" t="s">
        <v>29</v>
      </c>
      <c r="I300" t="s">
        <v>36</v>
      </c>
      <c r="J300">
        <v>2</v>
      </c>
      <c r="K300">
        <v>93</v>
      </c>
      <c r="L300">
        <v>1</v>
      </c>
      <c r="M300">
        <v>177</v>
      </c>
      <c r="N300">
        <v>138</v>
      </c>
      <c r="O300">
        <v>0</v>
      </c>
      <c r="P300">
        <v>36803</v>
      </c>
      <c r="Q300">
        <v>1.1599999999999999</v>
      </c>
      <c r="R300">
        <v>42749</v>
      </c>
      <c r="S300">
        <v>881</v>
      </c>
      <c r="T300">
        <v>205</v>
      </c>
      <c r="U300">
        <v>291</v>
      </c>
      <c r="V300">
        <v>80</v>
      </c>
      <c r="W300">
        <v>1284</v>
      </c>
      <c r="X300">
        <v>24</v>
      </c>
      <c r="Y300" t="s">
        <v>497</v>
      </c>
      <c r="Z300">
        <v>2741</v>
      </c>
      <c r="AA300" t="s">
        <v>498</v>
      </c>
    </row>
    <row r="301" spans="1:27" x14ac:dyDescent="0.25">
      <c r="A301" t="s">
        <v>341</v>
      </c>
      <c r="B301" s="1">
        <v>45978</v>
      </c>
      <c r="C301" s="2">
        <v>0.68333333333333335</v>
      </c>
      <c r="D301" t="s">
        <v>38</v>
      </c>
      <c r="E301" t="s">
        <v>26</v>
      </c>
      <c r="F301" t="s">
        <v>45</v>
      </c>
      <c r="G301" t="s">
        <v>293</v>
      </c>
      <c r="H301" t="s">
        <v>36</v>
      </c>
      <c r="I301" t="s">
        <v>36</v>
      </c>
      <c r="J301">
        <v>8</v>
      </c>
      <c r="K301">
        <v>24</v>
      </c>
      <c r="L301">
        <v>1</v>
      </c>
      <c r="M301">
        <v>91</v>
      </c>
      <c r="N301">
        <v>156</v>
      </c>
      <c r="O301">
        <v>423</v>
      </c>
      <c r="P301">
        <v>3882</v>
      </c>
      <c r="Q301">
        <v>1.47</v>
      </c>
      <c r="R301">
        <v>5700</v>
      </c>
      <c r="S301">
        <v>422</v>
      </c>
      <c r="T301">
        <v>56</v>
      </c>
      <c r="U301">
        <v>107</v>
      </c>
      <c r="V301">
        <v>10</v>
      </c>
      <c r="W301">
        <v>110</v>
      </c>
      <c r="X301">
        <v>0</v>
      </c>
      <c r="Y301" t="s">
        <v>501</v>
      </c>
      <c r="Z301">
        <v>705</v>
      </c>
      <c r="AA301" t="s">
        <v>498</v>
      </c>
    </row>
    <row r="302" spans="1:27" x14ac:dyDescent="0.25">
      <c r="A302" t="s">
        <v>342</v>
      </c>
      <c r="B302" s="1">
        <v>45978</v>
      </c>
      <c r="C302" s="2">
        <v>0.75347222222222221</v>
      </c>
      <c r="D302" t="s">
        <v>38</v>
      </c>
      <c r="E302" t="s">
        <v>39</v>
      </c>
      <c r="F302" t="s">
        <v>33</v>
      </c>
      <c r="G302" t="s">
        <v>293</v>
      </c>
      <c r="H302" t="s">
        <v>36</v>
      </c>
      <c r="I302" t="s">
        <v>36</v>
      </c>
      <c r="J302">
        <v>1</v>
      </c>
      <c r="K302">
        <v>0</v>
      </c>
      <c r="L302">
        <v>6</v>
      </c>
      <c r="M302">
        <v>139</v>
      </c>
      <c r="N302">
        <v>172</v>
      </c>
      <c r="O302">
        <v>349</v>
      </c>
      <c r="P302">
        <v>20770</v>
      </c>
      <c r="Q302">
        <v>1.74</v>
      </c>
      <c r="R302">
        <v>36134</v>
      </c>
      <c r="S302">
        <v>90</v>
      </c>
      <c r="T302">
        <v>38</v>
      </c>
      <c r="U302">
        <v>48</v>
      </c>
      <c r="V302">
        <v>0</v>
      </c>
      <c r="W302">
        <v>1222</v>
      </c>
      <c r="X302">
        <v>6</v>
      </c>
      <c r="Y302" t="s">
        <v>497</v>
      </c>
      <c r="Z302">
        <v>1398</v>
      </c>
      <c r="AA302" t="s">
        <v>498</v>
      </c>
    </row>
    <row r="303" spans="1:27" x14ac:dyDescent="0.25">
      <c r="A303" t="s">
        <v>343</v>
      </c>
      <c r="B303" s="1">
        <v>45978</v>
      </c>
      <c r="C303" s="2">
        <v>0.78611111111111109</v>
      </c>
      <c r="D303" t="s">
        <v>38</v>
      </c>
      <c r="E303" t="s">
        <v>32</v>
      </c>
      <c r="F303" t="s">
        <v>42</v>
      </c>
      <c r="G303" t="s">
        <v>293</v>
      </c>
      <c r="H303" t="s">
        <v>29</v>
      </c>
      <c r="I303" t="s">
        <v>36</v>
      </c>
      <c r="J303">
        <v>14</v>
      </c>
      <c r="K303">
        <v>0</v>
      </c>
      <c r="L303">
        <v>1</v>
      </c>
      <c r="M303">
        <v>276</v>
      </c>
      <c r="N303">
        <v>36</v>
      </c>
      <c r="O303">
        <v>0</v>
      </c>
      <c r="P303">
        <v>13814</v>
      </c>
      <c r="Q303">
        <v>1.1100000000000001</v>
      </c>
      <c r="R303">
        <v>15329</v>
      </c>
      <c r="S303">
        <v>115</v>
      </c>
      <c r="T303">
        <v>19</v>
      </c>
      <c r="U303">
        <v>24</v>
      </c>
      <c r="V303">
        <v>11</v>
      </c>
      <c r="W303">
        <v>286</v>
      </c>
      <c r="X303">
        <v>0</v>
      </c>
      <c r="Y303" t="s">
        <v>499</v>
      </c>
      <c r="Z303">
        <v>455</v>
      </c>
      <c r="AA303" t="s">
        <v>498</v>
      </c>
    </row>
    <row r="304" spans="1:27" x14ac:dyDescent="0.25">
      <c r="A304" t="s">
        <v>344</v>
      </c>
      <c r="B304" s="1">
        <v>45979</v>
      </c>
      <c r="C304" s="2">
        <v>0.59722222222222221</v>
      </c>
      <c r="D304" t="s">
        <v>25</v>
      </c>
      <c r="E304" t="s">
        <v>39</v>
      </c>
      <c r="F304" t="s">
        <v>27</v>
      </c>
      <c r="G304" t="s">
        <v>293</v>
      </c>
      <c r="H304" t="s">
        <v>36</v>
      </c>
      <c r="I304" t="s">
        <v>29</v>
      </c>
      <c r="J304">
        <v>4</v>
      </c>
      <c r="K304">
        <v>0</v>
      </c>
      <c r="L304">
        <v>1</v>
      </c>
      <c r="M304">
        <v>117</v>
      </c>
      <c r="N304">
        <v>189</v>
      </c>
      <c r="O304">
        <v>332</v>
      </c>
      <c r="P304">
        <v>15567</v>
      </c>
      <c r="Q304">
        <v>1.52</v>
      </c>
      <c r="R304">
        <v>23711</v>
      </c>
      <c r="S304">
        <v>478</v>
      </c>
      <c r="T304">
        <v>176</v>
      </c>
      <c r="U304">
        <v>173</v>
      </c>
      <c r="V304">
        <v>0</v>
      </c>
      <c r="W304">
        <v>0</v>
      </c>
      <c r="X304">
        <v>3</v>
      </c>
      <c r="Y304" t="s">
        <v>497</v>
      </c>
      <c r="Z304">
        <v>827</v>
      </c>
      <c r="AA304" t="s">
        <v>498</v>
      </c>
    </row>
    <row r="305" spans="1:27" x14ac:dyDescent="0.25">
      <c r="A305" t="s">
        <v>345</v>
      </c>
      <c r="B305" s="1">
        <v>45979</v>
      </c>
      <c r="C305" s="2">
        <v>0.64930555555555558</v>
      </c>
      <c r="D305" t="s">
        <v>38</v>
      </c>
      <c r="E305" t="s">
        <v>26</v>
      </c>
      <c r="F305" t="s">
        <v>33</v>
      </c>
      <c r="G305" t="s">
        <v>293</v>
      </c>
      <c r="H305" t="s">
        <v>29</v>
      </c>
      <c r="I305" t="s">
        <v>36</v>
      </c>
      <c r="J305">
        <v>3</v>
      </c>
      <c r="K305">
        <v>0</v>
      </c>
      <c r="L305">
        <v>6</v>
      </c>
      <c r="M305">
        <v>248</v>
      </c>
      <c r="N305">
        <v>78</v>
      </c>
      <c r="O305">
        <v>0</v>
      </c>
      <c r="P305">
        <v>30280</v>
      </c>
      <c r="Q305">
        <v>1.25</v>
      </c>
      <c r="R305">
        <v>37742</v>
      </c>
      <c r="S305">
        <v>323</v>
      </c>
      <c r="T305">
        <v>58</v>
      </c>
      <c r="U305">
        <v>103</v>
      </c>
      <c r="V305">
        <v>8</v>
      </c>
      <c r="W305">
        <v>1331</v>
      </c>
      <c r="X305">
        <v>42</v>
      </c>
      <c r="Y305" t="s">
        <v>497</v>
      </c>
      <c r="Z305">
        <v>1823</v>
      </c>
      <c r="AA305" t="s">
        <v>498</v>
      </c>
    </row>
    <row r="306" spans="1:27" x14ac:dyDescent="0.25">
      <c r="A306" t="s">
        <v>346</v>
      </c>
      <c r="B306" s="1">
        <v>45980</v>
      </c>
      <c r="C306" s="2">
        <v>0.7055555555555556</v>
      </c>
      <c r="D306" t="s">
        <v>38</v>
      </c>
      <c r="E306" t="s">
        <v>32</v>
      </c>
      <c r="F306" t="s">
        <v>33</v>
      </c>
      <c r="G306" t="s">
        <v>293</v>
      </c>
      <c r="H306" t="s">
        <v>29</v>
      </c>
      <c r="I306" t="s">
        <v>29</v>
      </c>
      <c r="J306">
        <v>8</v>
      </c>
      <c r="K306">
        <v>0</v>
      </c>
      <c r="L306">
        <v>10</v>
      </c>
      <c r="M306">
        <v>168</v>
      </c>
      <c r="N306">
        <v>281</v>
      </c>
      <c r="O306">
        <v>0</v>
      </c>
      <c r="P306">
        <v>9737</v>
      </c>
      <c r="Q306">
        <v>1.1499999999999999</v>
      </c>
      <c r="R306">
        <v>11157</v>
      </c>
      <c r="S306">
        <v>286</v>
      </c>
      <c r="T306">
        <v>52</v>
      </c>
      <c r="U306">
        <v>71</v>
      </c>
      <c r="V306">
        <v>35</v>
      </c>
      <c r="W306">
        <v>0</v>
      </c>
      <c r="X306">
        <v>8</v>
      </c>
      <c r="Y306" t="s">
        <v>497</v>
      </c>
      <c r="Z306">
        <v>444</v>
      </c>
      <c r="AA306" t="s">
        <v>498</v>
      </c>
    </row>
    <row r="307" spans="1:27" x14ac:dyDescent="0.25">
      <c r="A307" t="s">
        <v>347</v>
      </c>
      <c r="B307" s="1">
        <v>45981</v>
      </c>
      <c r="C307" s="2">
        <v>0.72847222222222219</v>
      </c>
      <c r="D307" t="s">
        <v>38</v>
      </c>
      <c r="E307" t="s">
        <v>32</v>
      </c>
      <c r="F307" t="s">
        <v>33</v>
      </c>
      <c r="G307" t="s">
        <v>293</v>
      </c>
      <c r="H307" t="s">
        <v>29</v>
      </c>
      <c r="I307" t="s">
        <v>36</v>
      </c>
      <c r="J307">
        <v>5</v>
      </c>
      <c r="K307">
        <v>0</v>
      </c>
      <c r="L307">
        <v>9</v>
      </c>
      <c r="M307">
        <v>133</v>
      </c>
      <c r="N307">
        <v>212</v>
      </c>
      <c r="O307">
        <v>0</v>
      </c>
      <c r="P307">
        <v>9878</v>
      </c>
      <c r="Q307">
        <v>1.38</v>
      </c>
      <c r="R307">
        <v>13602</v>
      </c>
      <c r="S307">
        <v>611</v>
      </c>
      <c r="T307">
        <v>105</v>
      </c>
      <c r="U307">
        <v>138</v>
      </c>
      <c r="V307">
        <v>78</v>
      </c>
      <c r="W307">
        <v>465</v>
      </c>
      <c r="X307">
        <v>3</v>
      </c>
      <c r="Y307" t="s">
        <v>497</v>
      </c>
      <c r="Z307">
        <v>1397</v>
      </c>
      <c r="AA307" t="s">
        <v>498</v>
      </c>
    </row>
    <row r="308" spans="1:27" x14ac:dyDescent="0.25">
      <c r="A308" t="s">
        <v>348</v>
      </c>
      <c r="B308" s="1">
        <v>45981</v>
      </c>
      <c r="C308" s="2">
        <v>0.87847222222222221</v>
      </c>
      <c r="D308" t="s">
        <v>35</v>
      </c>
      <c r="E308" t="s">
        <v>39</v>
      </c>
      <c r="F308" t="s">
        <v>45</v>
      </c>
      <c r="G308" t="s">
        <v>293</v>
      </c>
      <c r="H308" t="s">
        <v>29</v>
      </c>
      <c r="I308" t="s">
        <v>36</v>
      </c>
      <c r="J308">
        <v>4</v>
      </c>
      <c r="K308">
        <v>53</v>
      </c>
      <c r="L308">
        <v>1</v>
      </c>
      <c r="M308">
        <v>106</v>
      </c>
      <c r="N308">
        <v>346</v>
      </c>
      <c r="O308">
        <v>0</v>
      </c>
      <c r="P308">
        <v>5427</v>
      </c>
      <c r="Q308">
        <v>1.03</v>
      </c>
      <c r="R308">
        <v>5585</v>
      </c>
      <c r="S308">
        <v>108</v>
      </c>
      <c r="T308">
        <v>38</v>
      </c>
      <c r="U308">
        <v>48</v>
      </c>
      <c r="V308">
        <v>0</v>
      </c>
      <c r="W308">
        <v>130</v>
      </c>
      <c r="X308">
        <v>7</v>
      </c>
      <c r="Y308" t="s">
        <v>497</v>
      </c>
      <c r="Z308">
        <v>324</v>
      </c>
      <c r="AA308" t="s">
        <v>498</v>
      </c>
    </row>
    <row r="309" spans="1:27" x14ac:dyDescent="0.25">
      <c r="A309" t="s">
        <v>349</v>
      </c>
      <c r="B309" s="1">
        <v>45983</v>
      </c>
      <c r="C309" s="2">
        <v>0.68055555555555558</v>
      </c>
      <c r="D309" t="s">
        <v>38</v>
      </c>
      <c r="E309" t="s">
        <v>26</v>
      </c>
      <c r="F309" t="s">
        <v>27</v>
      </c>
      <c r="G309" t="s">
        <v>293</v>
      </c>
      <c r="H309" t="s">
        <v>29</v>
      </c>
      <c r="I309" t="s">
        <v>36</v>
      </c>
      <c r="J309">
        <v>3</v>
      </c>
      <c r="K309">
        <v>0</v>
      </c>
      <c r="L309">
        <v>1</v>
      </c>
      <c r="M309">
        <v>214</v>
      </c>
      <c r="N309">
        <v>85</v>
      </c>
      <c r="O309">
        <v>0</v>
      </c>
      <c r="P309">
        <v>10655</v>
      </c>
      <c r="Q309">
        <v>1.1200000000000001</v>
      </c>
      <c r="R309">
        <v>11974</v>
      </c>
      <c r="S309">
        <v>43</v>
      </c>
      <c r="T309">
        <v>5</v>
      </c>
      <c r="U309">
        <v>9</v>
      </c>
      <c r="V309">
        <v>1</v>
      </c>
      <c r="W309">
        <v>175</v>
      </c>
      <c r="X309">
        <v>16</v>
      </c>
      <c r="Y309" t="s">
        <v>497</v>
      </c>
      <c r="Z309">
        <v>233</v>
      </c>
      <c r="AA309" t="s">
        <v>498</v>
      </c>
    </row>
    <row r="310" spans="1:27" x14ac:dyDescent="0.25">
      <c r="A310" t="s">
        <v>350</v>
      </c>
      <c r="B310" s="1">
        <v>45983</v>
      </c>
      <c r="C310" s="2">
        <v>0.9375</v>
      </c>
      <c r="D310" t="s">
        <v>35</v>
      </c>
      <c r="E310" t="s">
        <v>39</v>
      </c>
      <c r="F310" t="s">
        <v>33</v>
      </c>
      <c r="G310" t="s">
        <v>293</v>
      </c>
      <c r="H310" t="s">
        <v>29</v>
      </c>
      <c r="I310" t="s">
        <v>29</v>
      </c>
      <c r="J310">
        <v>3</v>
      </c>
      <c r="K310">
        <v>0</v>
      </c>
      <c r="L310">
        <v>8</v>
      </c>
      <c r="M310">
        <v>161</v>
      </c>
      <c r="N310">
        <v>191</v>
      </c>
      <c r="O310">
        <v>0</v>
      </c>
      <c r="P310">
        <v>6198</v>
      </c>
      <c r="Q310">
        <v>1.1100000000000001</v>
      </c>
      <c r="R310">
        <v>6869</v>
      </c>
      <c r="S310">
        <v>100</v>
      </c>
      <c r="T310">
        <v>38</v>
      </c>
      <c r="U310">
        <v>47</v>
      </c>
      <c r="V310">
        <v>0</v>
      </c>
      <c r="W310">
        <v>0</v>
      </c>
      <c r="X310">
        <v>2</v>
      </c>
      <c r="Y310" t="s">
        <v>497</v>
      </c>
      <c r="Z310">
        <v>185</v>
      </c>
      <c r="AA310" t="s">
        <v>498</v>
      </c>
    </row>
    <row r="311" spans="1:27" x14ac:dyDescent="0.25">
      <c r="A311" t="s">
        <v>351</v>
      </c>
      <c r="B311" s="1">
        <v>45985</v>
      </c>
      <c r="C311" s="2">
        <v>0.63402777777777775</v>
      </c>
      <c r="D311" t="s">
        <v>38</v>
      </c>
      <c r="E311" t="s">
        <v>26</v>
      </c>
      <c r="F311" t="s">
        <v>45</v>
      </c>
      <c r="G311" t="s">
        <v>293</v>
      </c>
      <c r="H311" t="s">
        <v>29</v>
      </c>
      <c r="I311" t="s">
        <v>29</v>
      </c>
      <c r="J311">
        <v>3</v>
      </c>
      <c r="K311">
        <v>24</v>
      </c>
      <c r="L311">
        <v>1</v>
      </c>
      <c r="M311">
        <v>121</v>
      </c>
      <c r="N311">
        <v>112</v>
      </c>
      <c r="O311">
        <v>0</v>
      </c>
      <c r="P311">
        <v>24967</v>
      </c>
      <c r="Q311">
        <v>1.19</v>
      </c>
      <c r="R311">
        <v>29720</v>
      </c>
      <c r="S311">
        <v>3084</v>
      </c>
      <c r="T311">
        <v>393</v>
      </c>
      <c r="U311">
        <v>812</v>
      </c>
      <c r="V311">
        <v>79</v>
      </c>
      <c r="W311">
        <v>0</v>
      </c>
      <c r="X311">
        <v>18</v>
      </c>
      <c r="Y311" t="s">
        <v>497</v>
      </c>
      <c r="Z311">
        <v>4368</v>
      </c>
      <c r="AA311" t="s">
        <v>498</v>
      </c>
    </row>
    <row r="312" spans="1:27" x14ac:dyDescent="0.25">
      <c r="A312" t="s">
        <v>352</v>
      </c>
      <c r="B312" s="1">
        <v>45985</v>
      </c>
      <c r="C312" s="2">
        <v>0.75624999999999998</v>
      </c>
      <c r="D312" t="s">
        <v>38</v>
      </c>
      <c r="E312" t="s">
        <v>48</v>
      </c>
      <c r="F312" t="s">
        <v>45</v>
      </c>
      <c r="G312" t="s">
        <v>293</v>
      </c>
      <c r="H312" t="s">
        <v>29</v>
      </c>
      <c r="I312" t="s">
        <v>29</v>
      </c>
      <c r="J312">
        <v>3</v>
      </c>
      <c r="K312">
        <v>34</v>
      </c>
      <c r="L312">
        <v>1</v>
      </c>
      <c r="M312">
        <v>162</v>
      </c>
      <c r="N312">
        <v>217</v>
      </c>
      <c r="O312">
        <v>0</v>
      </c>
      <c r="P312">
        <v>7656</v>
      </c>
      <c r="Q312">
        <v>1.1299999999999999</v>
      </c>
      <c r="R312">
        <v>8649</v>
      </c>
      <c r="S312">
        <v>185</v>
      </c>
      <c r="T312">
        <v>49</v>
      </c>
      <c r="U312">
        <v>67</v>
      </c>
      <c r="V312">
        <v>16</v>
      </c>
      <c r="W312">
        <v>0</v>
      </c>
      <c r="X312">
        <v>12</v>
      </c>
      <c r="Y312" t="s">
        <v>497</v>
      </c>
      <c r="Z312">
        <v>317</v>
      </c>
      <c r="AA312" t="s">
        <v>498</v>
      </c>
    </row>
    <row r="313" spans="1:27" x14ac:dyDescent="0.25">
      <c r="A313" t="s">
        <v>353</v>
      </c>
      <c r="B313" s="1">
        <v>45986</v>
      </c>
      <c r="C313" s="2">
        <v>0.64166666666666672</v>
      </c>
      <c r="D313" t="s">
        <v>38</v>
      </c>
      <c r="E313" t="s">
        <v>48</v>
      </c>
      <c r="F313" t="s">
        <v>45</v>
      </c>
      <c r="G313" t="s">
        <v>293</v>
      </c>
      <c r="H313" t="s">
        <v>29</v>
      </c>
      <c r="I313" t="s">
        <v>36</v>
      </c>
      <c r="J313">
        <v>2</v>
      </c>
      <c r="K313">
        <v>121</v>
      </c>
      <c r="L313">
        <v>1</v>
      </c>
      <c r="M313">
        <v>67</v>
      </c>
      <c r="N313">
        <v>201</v>
      </c>
      <c r="O313">
        <v>0</v>
      </c>
      <c r="P313">
        <v>9273</v>
      </c>
      <c r="Q313">
        <v>1.08</v>
      </c>
      <c r="R313">
        <v>9995</v>
      </c>
      <c r="S313">
        <v>150</v>
      </c>
      <c r="T313">
        <v>41</v>
      </c>
      <c r="U313">
        <v>58</v>
      </c>
      <c r="V313">
        <v>12</v>
      </c>
      <c r="W313">
        <v>227</v>
      </c>
      <c r="X313">
        <v>14</v>
      </c>
      <c r="Y313" t="s">
        <v>501</v>
      </c>
      <c r="Z313">
        <v>488</v>
      </c>
      <c r="AA313" t="s">
        <v>498</v>
      </c>
    </row>
    <row r="314" spans="1:27" x14ac:dyDescent="0.25">
      <c r="A314" t="s">
        <v>354</v>
      </c>
      <c r="B314" s="1">
        <v>45988</v>
      </c>
      <c r="C314" s="2">
        <v>0.58750000000000002</v>
      </c>
      <c r="D314" t="s">
        <v>25</v>
      </c>
      <c r="E314" t="s">
        <v>39</v>
      </c>
      <c r="F314" t="s">
        <v>45</v>
      </c>
      <c r="G314" t="s">
        <v>293</v>
      </c>
      <c r="H314" t="s">
        <v>29</v>
      </c>
      <c r="I314" t="s">
        <v>29</v>
      </c>
      <c r="J314">
        <v>2</v>
      </c>
      <c r="K314">
        <v>140</v>
      </c>
      <c r="L314">
        <v>1</v>
      </c>
      <c r="M314">
        <v>165</v>
      </c>
      <c r="N314">
        <v>173</v>
      </c>
      <c r="O314">
        <v>0</v>
      </c>
      <c r="P314">
        <v>7467</v>
      </c>
      <c r="Q314">
        <v>1.01</v>
      </c>
      <c r="R314">
        <v>7559</v>
      </c>
      <c r="S314">
        <v>115</v>
      </c>
      <c r="T314">
        <v>45</v>
      </c>
      <c r="U314">
        <v>50</v>
      </c>
      <c r="V314">
        <v>0</v>
      </c>
      <c r="W314">
        <v>0</v>
      </c>
      <c r="X314">
        <v>6</v>
      </c>
      <c r="Y314" t="s">
        <v>497</v>
      </c>
      <c r="Z314">
        <v>210</v>
      </c>
      <c r="AA314" t="s">
        <v>498</v>
      </c>
    </row>
    <row r="315" spans="1:27" x14ac:dyDescent="0.25">
      <c r="A315" t="s">
        <v>355</v>
      </c>
      <c r="B315" s="1">
        <v>45988</v>
      </c>
      <c r="C315" s="2">
        <v>0.60069444444444442</v>
      </c>
      <c r="D315" t="s">
        <v>25</v>
      </c>
      <c r="E315" t="s">
        <v>39</v>
      </c>
      <c r="F315" t="s">
        <v>45</v>
      </c>
      <c r="G315" t="s">
        <v>293</v>
      </c>
      <c r="H315" t="s">
        <v>29</v>
      </c>
      <c r="I315" t="s">
        <v>36</v>
      </c>
      <c r="J315">
        <v>3</v>
      </c>
      <c r="K315">
        <v>90</v>
      </c>
      <c r="L315">
        <v>1</v>
      </c>
      <c r="M315">
        <v>178</v>
      </c>
      <c r="N315">
        <v>253</v>
      </c>
      <c r="O315">
        <v>0</v>
      </c>
      <c r="P315">
        <v>7324</v>
      </c>
      <c r="Q315">
        <v>1</v>
      </c>
      <c r="R315">
        <v>7324</v>
      </c>
      <c r="S315">
        <v>102</v>
      </c>
      <c r="T315">
        <v>38</v>
      </c>
      <c r="U315">
        <v>47</v>
      </c>
      <c r="V315">
        <v>0</v>
      </c>
      <c r="W315">
        <v>131</v>
      </c>
      <c r="X315">
        <v>0</v>
      </c>
      <c r="Y315" t="s">
        <v>497</v>
      </c>
      <c r="Z315">
        <v>318</v>
      </c>
      <c r="AA315" t="s">
        <v>498</v>
      </c>
    </row>
    <row r="316" spans="1:27" x14ac:dyDescent="0.25">
      <c r="A316" t="s">
        <v>356</v>
      </c>
      <c r="B316" s="1">
        <v>45988</v>
      </c>
      <c r="C316" s="2">
        <v>0.68611111111111112</v>
      </c>
      <c r="D316" t="s">
        <v>38</v>
      </c>
      <c r="E316" t="s">
        <v>26</v>
      </c>
      <c r="F316" t="s">
        <v>45</v>
      </c>
      <c r="G316" t="s">
        <v>293</v>
      </c>
      <c r="H316" t="s">
        <v>29</v>
      </c>
      <c r="I316" t="s">
        <v>29</v>
      </c>
      <c r="J316">
        <v>7</v>
      </c>
      <c r="K316">
        <v>58</v>
      </c>
      <c r="L316">
        <v>1</v>
      </c>
      <c r="M316">
        <v>163</v>
      </c>
      <c r="N316">
        <v>150</v>
      </c>
      <c r="O316">
        <v>0</v>
      </c>
      <c r="P316">
        <v>20737</v>
      </c>
      <c r="Q316">
        <v>1.6</v>
      </c>
      <c r="R316">
        <v>33077</v>
      </c>
      <c r="S316">
        <v>3669</v>
      </c>
      <c r="T316">
        <v>512</v>
      </c>
      <c r="U316">
        <v>866</v>
      </c>
      <c r="V316">
        <v>113</v>
      </c>
      <c r="W316">
        <v>0</v>
      </c>
      <c r="X316">
        <v>15</v>
      </c>
      <c r="Y316" t="s">
        <v>497</v>
      </c>
      <c r="Z316">
        <v>5160</v>
      </c>
      <c r="AA316" t="s">
        <v>498</v>
      </c>
    </row>
    <row r="317" spans="1:27" x14ac:dyDescent="0.25">
      <c r="A317" t="s">
        <v>357</v>
      </c>
      <c r="B317" s="1">
        <v>45989</v>
      </c>
      <c r="C317" s="2">
        <v>0.72916666666666663</v>
      </c>
      <c r="D317" t="s">
        <v>38</v>
      </c>
      <c r="E317" t="s">
        <v>48</v>
      </c>
      <c r="F317" t="s">
        <v>27</v>
      </c>
      <c r="G317" t="s">
        <v>293</v>
      </c>
      <c r="H317" t="s">
        <v>29</v>
      </c>
      <c r="I317" t="s">
        <v>29</v>
      </c>
      <c r="J317">
        <v>6</v>
      </c>
      <c r="K317">
        <v>0</v>
      </c>
      <c r="L317">
        <v>1</v>
      </c>
      <c r="M317">
        <v>158</v>
      </c>
      <c r="N317">
        <v>83</v>
      </c>
      <c r="O317">
        <v>0</v>
      </c>
      <c r="P317">
        <v>8207</v>
      </c>
      <c r="Q317">
        <v>1.08</v>
      </c>
      <c r="R317">
        <v>8873</v>
      </c>
      <c r="S317">
        <v>124</v>
      </c>
      <c r="T317">
        <v>34</v>
      </c>
      <c r="U317">
        <v>41</v>
      </c>
      <c r="V317">
        <v>9</v>
      </c>
      <c r="W317">
        <v>0</v>
      </c>
      <c r="X317">
        <v>4</v>
      </c>
      <c r="Y317" t="s">
        <v>497</v>
      </c>
      <c r="Z317">
        <v>208</v>
      </c>
      <c r="AA317" t="s">
        <v>498</v>
      </c>
    </row>
    <row r="318" spans="1:27" x14ac:dyDescent="0.25">
      <c r="A318" t="s">
        <v>358</v>
      </c>
      <c r="B318" s="1">
        <v>45991</v>
      </c>
      <c r="C318" s="2">
        <v>0.89166666666666672</v>
      </c>
      <c r="D318" t="s">
        <v>35</v>
      </c>
      <c r="E318" t="s">
        <v>39</v>
      </c>
      <c r="F318" t="s">
        <v>33</v>
      </c>
      <c r="G318" t="s">
        <v>293</v>
      </c>
      <c r="H318" t="s">
        <v>29</v>
      </c>
      <c r="I318" t="s">
        <v>36</v>
      </c>
      <c r="J318">
        <v>4</v>
      </c>
      <c r="K318">
        <v>0</v>
      </c>
      <c r="L318">
        <v>5</v>
      </c>
      <c r="M318">
        <v>258</v>
      </c>
      <c r="N318">
        <v>195</v>
      </c>
      <c r="O318">
        <v>0</v>
      </c>
      <c r="P318">
        <v>8822</v>
      </c>
      <c r="Q318">
        <v>1.25</v>
      </c>
      <c r="R318">
        <v>11050</v>
      </c>
      <c r="S318">
        <v>145</v>
      </c>
      <c r="T318">
        <v>50</v>
      </c>
      <c r="U318">
        <v>73</v>
      </c>
      <c r="V318">
        <v>0</v>
      </c>
      <c r="W318">
        <v>387</v>
      </c>
      <c r="X318">
        <v>1</v>
      </c>
      <c r="Y318" t="s">
        <v>499</v>
      </c>
      <c r="Z318">
        <v>655</v>
      </c>
      <c r="AA318" t="s">
        <v>498</v>
      </c>
    </row>
    <row r="319" spans="1:27" x14ac:dyDescent="0.25">
      <c r="A319" t="s">
        <v>359</v>
      </c>
      <c r="B319" s="1">
        <v>45993</v>
      </c>
      <c r="C319" s="2">
        <v>0.53472222222222221</v>
      </c>
      <c r="D319" t="s">
        <v>25</v>
      </c>
      <c r="E319" t="s">
        <v>48</v>
      </c>
      <c r="F319" t="s">
        <v>33</v>
      </c>
      <c r="G319" t="s">
        <v>360</v>
      </c>
      <c r="H319" t="s">
        <v>29</v>
      </c>
      <c r="I319" t="s">
        <v>29</v>
      </c>
      <c r="J319">
        <v>2</v>
      </c>
      <c r="K319">
        <v>0</v>
      </c>
      <c r="L319">
        <v>4</v>
      </c>
      <c r="M319">
        <v>211</v>
      </c>
      <c r="N319">
        <v>163</v>
      </c>
      <c r="O319">
        <v>0</v>
      </c>
      <c r="P319">
        <v>1612</v>
      </c>
      <c r="Q319">
        <v>1</v>
      </c>
      <c r="R319">
        <v>1612</v>
      </c>
      <c r="S319">
        <v>38</v>
      </c>
      <c r="T319">
        <v>10</v>
      </c>
      <c r="U319">
        <v>11</v>
      </c>
      <c r="V319">
        <v>3</v>
      </c>
      <c r="W319">
        <v>0</v>
      </c>
      <c r="X319">
        <v>16</v>
      </c>
      <c r="Y319" t="s">
        <v>497</v>
      </c>
      <c r="Z319">
        <v>62</v>
      </c>
      <c r="AA319" t="s">
        <v>498</v>
      </c>
    </row>
    <row r="320" spans="1:27" x14ac:dyDescent="0.25">
      <c r="A320" t="s">
        <v>361</v>
      </c>
      <c r="B320" s="1">
        <v>45993</v>
      </c>
      <c r="C320" s="2">
        <v>0.55486111111111114</v>
      </c>
      <c r="D320" t="s">
        <v>25</v>
      </c>
      <c r="E320" t="s">
        <v>32</v>
      </c>
      <c r="F320" t="s">
        <v>45</v>
      </c>
      <c r="G320" t="s">
        <v>360</v>
      </c>
      <c r="H320" t="s">
        <v>29</v>
      </c>
      <c r="I320" t="s">
        <v>29</v>
      </c>
      <c r="J320">
        <v>7</v>
      </c>
      <c r="K320">
        <v>21</v>
      </c>
      <c r="L320">
        <v>1</v>
      </c>
      <c r="M320">
        <v>142</v>
      </c>
      <c r="N320">
        <v>116</v>
      </c>
      <c r="O320">
        <v>0</v>
      </c>
      <c r="P320">
        <v>14497</v>
      </c>
      <c r="Q320">
        <v>1.1299999999999999</v>
      </c>
      <c r="R320">
        <v>16357</v>
      </c>
      <c r="S320">
        <v>705</v>
      </c>
      <c r="T320">
        <v>130</v>
      </c>
      <c r="U320">
        <v>143</v>
      </c>
      <c r="V320">
        <v>72</v>
      </c>
      <c r="W320">
        <v>0</v>
      </c>
      <c r="X320">
        <v>7</v>
      </c>
      <c r="Y320" t="s">
        <v>497</v>
      </c>
      <c r="Z320">
        <v>1050</v>
      </c>
      <c r="AA320" t="s">
        <v>498</v>
      </c>
    </row>
    <row r="321" spans="1:27" x14ac:dyDescent="0.25">
      <c r="A321" t="s">
        <v>362</v>
      </c>
      <c r="B321" s="1">
        <v>45993</v>
      </c>
      <c r="C321" s="2">
        <v>0.90208333333333335</v>
      </c>
      <c r="D321" t="s">
        <v>35</v>
      </c>
      <c r="E321" t="s">
        <v>32</v>
      </c>
      <c r="F321" t="s">
        <v>27</v>
      </c>
      <c r="G321" t="s">
        <v>360</v>
      </c>
      <c r="H321" t="s">
        <v>29</v>
      </c>
      <c r="I321" t="s">
        <v>29</v>
      </c>
      <c r="J321">
        <v>13</v>
      </c>
      <c r="K321">
        <v>0</v>
      </c>
      <c r="L321">
        <v>1</v>
      </c>
      <c r="M321">
        <v>200</v>
      </c>
      <c r="N321">
        <v>145</v>
      </c>
      <c r="O321">
        <v>0</v>
      </c>
      <c r="P321">
        <v>7514</v>
      </c>
      <c r="Q321">
        <v>1.4</v>
      </c>
      <c r="R321">
        <v>10491</v>
      </c>
      <c r="S321">
        <v>619</v>
      </c>
      <c r="T321">
        <v>101</v>
      </c>
      <c r="U321">
        <v>116</v>
      </c>
      <c r="V321">
        <v>81</v>
      </c>
      <c r="W321">
        <v>0</v>
      </c>
      <c r="X321">
        <v>6</v>
      </c>
      <c r="Y321" t="s">
        <v>497</v>
      </c>
      <c r="Z321">
        <v>917</v>
      </c>
      <c r="AA321" t="s">
        <v>498</v>
      </c>
    </row>
    <row r="322" spans="1:27" x14ac:dyDescent="0.25">
      <c r="A322" t="s">
        <v>363</v>
      </c>
      <c r="B322" s="1">
        <v>45995</v>
      </c>
      <c r="C322" s="2">
        <v>0.54027777777777775</v>
      </c>
      <c r="D322" t="s">
        <v>25</v>
      </c>
      <c r="E322" t="s">
        <v>32</v>
      </c>
      <c r="F322" t="s">
        <v>45</v>
      </c>
      <c r="G322" t="s">
        <v>360</v>
      </c>
      <c r="H322" t="s">
        <v>36</v>
      </c>
      <c r="I322" t="s">
        <v>29</v>
      </c>
      <c r="J322">
        <v>14</v>
      </c>
      <c r="K322">
        <v>87</v>
      </c>
      <c r="L322">
        <v>1</v>
      </c>
      <c r="M322">
        <v>123</v>
      </c>
      <c r="N322">
        <v>254</v>
      </c>
      <c r="O322">
        <v>594</v>
      </c>
      <c r="P322">
        <v>49854</v>
      </c>
      <c r="Q322">
        <v>1.69</v>
      </c>
      <c r="R322">
        <v>84486</v>
      </c>
      <c r="S322">
        <v>3449</v>
      </c>
      <c r="T322">
        <v>635</v>
      </c>
      <c r="U322">
        <v>695</v>
      </c>
      <c r="V322">
        <v>365</v>
      </c>
      <c r="W322">
        <v>0</v>
      </c>
      <c r="X322">
        <v>51</v>
      </c>
      <c r="Y322" t="s">
        <v>497</v>
      </c>
      <c r="Z322">
        <v>5144</v>
      </c>
      <c r="AA322" t="s">
        <v>498</v>
      </c>
    </row>
    <row r="323" spans="1:27" x14ac:dyDescent="0.25">
      <c r="A323" t="s">
        <v>364</v>
      </c>
      <c r="B323" s="1">
        <v>45995</v>
      </c>
      <c r="C323" s="2">
        <v>0.95138888888888884</v>
      </c>
      <c r="D323" t="s">
        <v>35</v>
      </c>
      <c r="E323" t="s">
        <v>39</v>
      </c>
      <c r="F323" t="s">
        <v>27</v>
      </c>
      <c r="G323" t="s">
        <v>360</v>
      </c>
      <c r="H323" t="s">
        <v>29</v>
      </c>
      <c r="I323" t="s">
        <v>36</v>
      </c>
      <c r="J323">
        <v>3</v>
      </c>
      <c r="K323">
        <v>0</v>
      </c>
      <c r="L323">
        <v>1</v>
      </c>
      <c r="M323">
        <v>179</v>
      </c>
      <c r="N323">
        <v>130</v>
      </c>
      <c r="O323">
        <v>0</v>
      </c>
      <c r="P323">
        <v>14692</v>
      </c>
      <c r="Q323">
        <v>1.29</v>
      </c>
      <c r="R323">
        <v>18970</v>
      </c>
      <c r="S323">
        <v>322</v>
      </c>
      <c r="T323">
        <v>139</v>
      </c>
      <c r="U323">
        <v>168</v>
      </c>
      <c r="V323">
        <v>0</v>
      </c>
      <c r="W323">
        <v>278</v>
      </c>
      <c r="X323">
        <v>3</v>
      </c>
      <c r="Y323" t="s">
        <v>497</v>
      </c>
      <c r="Z323">
        <v>907</v>
      </c>
      <c r="AA323" t="s">
        <v>498</v>
      </c>
    </row>
    <row r="324" spans="1:27" x14ac:dyDescent="0.25">
      <c r="A324" t="s">
        <v>365</v>
      </c>
      <c r="B324" s="1">
        <v>45996</v>
      </c>
      <c r="C324" s="2">
        <v>0.26874999999999999</v>
      </c>
      <c r="D324" t="s">
        <v>31</v>
      </c>
      <c r="E324" t="s">
        <v>48</v>
      </c>
      <c r="F324" t="s">
        <v>45</v>
      </c>
      <c r="G324" t="s">
        <v>360</v>
      </c>
      <c r="H324" t="s">
        <v>29</v>
      </c>
      <c r="I324" t="s">
        <v>29</v>
      </c>
      <c r="J324">
        <v>5</v>
      </c>
      <c r="K324">
        <v>147</v>
      </c>
      <c r="L324">
        <v>1</v>
      </c>
      <c r="M324">
        <v>59</v>
      </c>
      <c r="N324">
        <v>104</v>
      </c>
      <c r="O324">
        <v>0</v>
      </c>
      <c r="P324">
        <v>10323</v>
      </c>
      <c r="Q324">
        <v>1.2</v>
      </c>
      <c r="R324">
        <v>12377</v>
      </c>
      <c r="S324">
        <v>328</v>
      </c>
      <c r="T324">
        <v>86</v>
      </c>
      <c r="U324">
        <v>93</v>
      </c>
      <c r="V324">
        <v>25</v>
      </c>
      <c r="W324">
        <v>0</v>
      </c>
      <c r="X324">
        <v>0</v>
      </c>
      <c r="Y324" t="s">
        <v>501</v>
      </c>
      <c r="Z324">
        <v>532</v>
      </c>
      <c r="AA324" t="s">
        <v>498</v>
      </c>
    </row>
    <row r="325" spans="1:27" x14ac:dyDescent="0.25">
      <c r="A325" t="s">
        <v>366</v>
      </c>
      <c r="B325" s="1">
        <v>45996</v>
      </c>
      <c r="C325" s="2">
        <v>0.5131944444444444</v>
      </c>
      <c r="D325" t="s">
        <v>25</v>
      </c>
      <c r="E325" t="s">
        <v>39</v>
      </c>
      <c r="F325" t="s">
        <v>42</v>
      </c>
      <c r="G325" t="s">
        <v>360</v>
      </c>
      <c r="H325" t="s">
        <v>29</v>
      </c>
      <c r="I325" t="s">
        <v>29</v>
      </c>
      <c r="J325">
        <v>3</v>
      </c>
      <c r="K325">
        <v>0</v>
      </c>
      <c r="L325">
        <v>1</v>
      </c>
      <c r="M325">
        <v>155</v>
      </c>
      <c r="N325">
        <v>50</v>
      </c>
      <c r="O325">
        <v>0</v>
      </c>
      <c r="P325">
        <v>30703</v>
      </c>
      <c r="Q325">
        <v>1.27</v>
      </c>
      <c r="R325">
        <v>38964</v>
      </c>
      <c r="S325">
        <v>1431</v>
      </c>
      <c r="T325">
        <v>586</v>
      </c>
      <c r="U325">
        <v>608</v>
      </c>
      <c r="V325">
        <v>0</v>
      </c>
      <c r="W325">
        <v>0</v>
      </c>
      <c r="X325">
        <v>7</v>
      </c>
      <c r="Y325" t="s">
        <v>497</v>
      </c>
      <c r="Z325">
        <v>2625</v>
      </c>
      <c r="AA325" t="s">
        <v>498</v>
      </c>
    </row>
    <row r="326" spans="1:27" x14ac:dyDescent="0.25">
      <c r="A326" t="s">
        <v>367</v>
      </c>
      <c r="B326" s="1">
        <v>45996</v>
      </c>
      <c r="C326" s="2">
        <v>0.83958333333333335</v>
      </c>
      <c r="D326" t="s">
        <v>35</v>
      </c>
      <c r="E326" t="s">
        <v>32</v>
      </c>
      <c r="F326" t="s">
        <v>27</v>
      </c>
      <c r="G326" t="s">
        <v>360</v>
      </c>
      <c r="H326" t="s">
        <v>36</v>
      </c>
      <c r="I326" t="s">
        <v>36</v>
      </c>
      <c r="J326">
        <v>5</v>
      </c>
      <c r="K326">
        <v>0</v>
      </c>
      <c r="L326">
        <v>1</v>
      </c>
      <c r="M326">
        <v>165</v>
      </c>
      <c r="N326">
        <v>88</v>
      </c>
      <c r="O326">
        <v>705</v>
      </c>
      <c r="P326">
        <v>33085</v>
      </c>
      <c r="Q326">
        <v>1.58</v>
      </c>
      <c r="R326">
        <v>52178</v>
      </c>
      <c r="S326">
        <v>1790</v>
      </c>
      <c r="T326">
        <v>402</v>
      </c>
      <c r="U326">
        <v>428</v>
      </c>
      <c r="V326">
        <v>266</v>
      </c>
      <c r="W326">
        <v>1339</v>
      </c>
      <c r="X326">
        <v>25</v>
      </c>
      <c r="Y326" t="s">
        <v>497</v>
      </c>
      <c r="Z326">
        <v>4225</v>
      </c>
      <c r="AA326" t="s">
        <v>498</v>
      </c>
    </row>
    <row r="327" spans="1:27" x14ac:dyDescent="0.25">
      <c r="A327" t="s">
        <v>368</v>
      </c>
      <c r="B327" s="1">
        <v>45998</v>
      </c>
      <c r="C327" s="2">
        <v>0.55972222222222223</v>
      </c>
      <c r="D327" t="s">
        <v>25</v>
      </c>
      <c r="E327" t="s">
        <v>39</v>
      </c>
      <c r="F327" t="s">
        <v>27</v>
      </c>
      <c r="G327" t="s">
        <v>360</v>
      </c>
      <c r="H327" t="s">
        <v>29</v>
      </c>
      <c r="I327" t="s">
        <v>29</v>
      </c>
      <c r="J327">
        <v>2</v>
      </c>
      <c r="K327">
        <v>0</v>
      </c>
      <c r="L327">
        <v>1</v>
      </c>
      <c r="M327">
        <v>176</v>
      </c>
      <c r="N327">
        <v>141</v>
      </c>
      <c r="O327">
        <v>0</v>
      </c>
      <c r="P327">
        <v>8199</v>
      </c>
      <c r="Q327">
        <v>1.02</v>
      </c>
      <c r="R327">
        <v>8347</v>
      </c>
      <c r="S327">
        <v>130</v>
      </c>
      <c r="T327">
        <v>37</v>
      </c>
      <c r="U327">
        <v>46</v>
      </c>
      <c r="V327">
        <v>0</v>
      </c>
      <c r="W327">
        <v>0</v>
      </c>
      <c r="X327">
        <v>4</v>
      </c>
      <c r="Y327" t="s">
        <v>497</v>
      </c>
      <c r="Z327">
        <v>213</v>
      </c>
      <c r="AA327" t="s">
        <v>498</v>
      </c>
    </row>
    <row r="328" spans="1:27" x14ac:dyDescent="0.25">
      <c r="A328" t="s">
        <v>369</v>
      </c>
      <c r="B328" s="1">
        <v>45999</v>
      </c>
      <c r="C328" s="2">
        <v>0.25277777777777777</v>
      </c>
      <c r="D328" t="s">
        <v>31</v>
      </c>
      <c r="E328" t="s">
        <v>26</v>
      </c>
      <c r="F328" t="s">
        <v>42</v>
      </c>
      <c r="G328" t="s">
        <v>360</v>
      </c>
      <c r="H328" t="s">
        <v>29</v>
      </c>
      <c r="I328" t="s">
        <v>29</v>
      </c>
      <c r="J328">
        <v>6</v>
      </c>
      <c r="K328">
        <v>0</v>
      </c>
      <c r="L328">
        <v>1</v>
      </c>
      <c r="M328">
        <v>444</v>
      </c>
      <c r="N328">
        <v>34</v>
      </c>
      <c r="O328">
        <v>0</v>
      </c>
      <c r="P328">
        <v>13379</v>
      </c>
      <c r="Q328">
        <v>1.38</v>
      </c>
      <c r="R328">
        <v>18396</v>
      </c>
      <c r="S328">
        <v>327</v>
      </c>
      <c r="T328">
        <v>50</v>
      </c>
      <c r="U328">
        <v>92</v>
      </c>
      <c r="V328">
        <v>9</v>
      </c>
      <c r="W328">
        <v>0</v>
      </c>
      <c r="X328">
        <v>5</v>
      </c>
      <c r="Y328" t="s">
        <v>499</v>
      </c>
      <c r="Z328">
        <v>478</v>
      </c>
      <c r="AA328" t="s">
        <v>498</v>
      </c>
    </row>
    <row r="329" spans="1:27" x14ac:dyDescent="0.25">
      <c r="A329" t="s">
        <v>370</v>
      </c>
      <c r="B329" s="1">
        <v>45999</v>
      </c>
      <c r="C329" s="2">
        <v>0.55347222222222225</v>
      </c>
      <c r="D329" t="s">
        <v>25</v>
      </c>
      <c r="E329" t="s">
        <v>32</v>
      </c>
      <c r="F329" t="s">
        <v>33</v>
      </c>
      <c r="G329" t="s">
        <v>360</v>
      </c>
      <c r="H329" t="s">
        <v>36</v>
      </c>
      <c r="I329" t="s">
        <v>36</v>
      </c>
      <c r="J329">
        <v>11</v>
      </c>
      <c r="K329">
        <v>0</v>
      </c>
      <c r="L329">
        <v>5</v>
      </c>
      <c r="M329">
        <v>202</v>
      </c>
      <c r="N329">
        <v>199</v>
      </c>
      <c r="O329">
        <v>312</v>
      </c>
      <c r="P329">
        <v>45176</v>
      </c>
      <c r="Q329">
        <v>1.43</v>
      </c>
      <c r="R329">
        <v>64626</v>
      </c>
      <c r="S329">
        <v>3423</v>
      </c>
      <c r="T329">
        <v>546</v>
      </c>
      <c r="U329">
        <v>839</v>
      </c>
      <c r="V329">
        <v>480</v>
      </c>
      <c r="W329">
        <v>2023</v>
      </c>
      <c r="X329">
        <v>102</v>
      </c>
      <c r="Y329" t="s">
        <v>497</v>
      </c>
      <c r="Z329">
        <v>7311</v>
      </c>
      <c r="AA329" t="s">
        <v>498</v>
      </c>
    </row>
    <row r="330" spans="1:27" x14ac:dyDescent="0.25">
      <c r="A330" t="s">
        <v>371</v>
      </c>
      <c r="B330" s="1">
        <v>45999</v>
      </c>
      <c r="C330" s="2">
        <v>0.84027777777777779</v>
      </c>
      <c r="D330" t="s">
        <v>35</v>
      </c>
      <c r="E330" t="s">
        <v>26</v>
      </c>
      <c r="F330" t="s">
        <v>45</v>
      </c>
      <c r="G330" t="s">
        <v>360</v>
      </c>
      <c r="H330" t="s">
        <v>29</v>
      </c>
      <c r="I330" t="s">
        <v>29</v>
      </c>
      <c r="J330">
        <v>4</v>
      </c>
      <c r="K330">
        <v>39</v>
      </c>
      <c r="L330">
        <v>1</v>
      </c>
      <c r="M330">
        <v>50</v>
      </c>
      <c r="N330">
        <v>271</v>
      </c>
      <c r="O330">
        <v>0</v>
      </c>
      <c r="P330">
        <v>21565</v>
      </c>
      <c r="Q330">
        <v>1</v>
      </c>
      <c r="R330">
        <v>21565</v>
      </c>
      <c r="S330">
        <v>2507</v>
      </c>
      <c r="T330">
        <v>353</v>
      </c>
      <c r="U330">
        <v>739</v>
      </c>
      <c r="V330">
        <v>83</v>
      </c>
      <c r="W330">
        <v>0</v>
      </c>
      <c r="X330">
        <v>14</v>
      </c>
      <c r="Y330" t="s">
        <v>501</v>
      </c>
      <c r="Z330">
        <v>3682</v>
      </c>
      <c r="AA330" t="s">
        <v>498</v>
      </c>
    </row>
    <row r="331" spans="1:27" x14ac:dyDescent="0.25">
      <c r="A331" t="s">
        <v>372</v>
      </c>
      <c r="B331" s="1">
        <v>46000</v>
      </c>
      <c r="C331" s="2">
        <v>0.5</v>
      </c>
      <c r="D331" t="s">
        <v>25</v>
      </c>
      <c r="E331" t="s">
        <v>32</v>
      </c>
      <c r="F331" t="s">
        <v>33</v>
      </c>
      <c r="G331" t="s">
        <v>360</v>
      </c>
      <c r="H331" t="s">
        <v>36</v>
      </c>
      <c r="I331" t="s">
        <v>29</v>
      </c>
      <c r="J331">
        <v>10</v>
      </c>
      <c r="K331">
        <v>0</v>
      </c>
      <c r="L331">
        <v>4</v>
      </c>
      <c r="M331">
        <v>231</v>
      </c>
      <c r="N331">
        <v>131</v>
      </c>
      <c r="O331">
        <v>673</v>
      </c>
      <c r="P331">
        <v>21821</v>
      </c>
      <c r="Q331">
        <v>1.61</v>
      </c>
      <c r="R331">
        <v>35103</v>
      </c>
      <c r="S331">
        <v>1212</v>
      </c>
      <c r="T331">
        <v>212</v>
      </c>
      <c r="U331">
        <v>239</v>
      </c>
      <c r="V331">
        <v>137</v>
      </c>
      <c r="W331">
        <v>0</v>
      </c>
      <c r="X331">
        <v>2</v>
      </c>
      <c r="Y331" t="s">
        <v>497</v>
      </c>
      <c r="Z331">
        <v>1800</v>
      </c>
      <c r="AA331" t="s">
        <v>498</v>
      </c>
    </row>
    <row r="332" spans="1:27" x14ac:dyDescent="0.25">
      <c r="A332" t="s">
        <v>373</v>
      </c>
      <c r="B332" s="1">
        <v>46002</v>
      </c>
      <c r="C332" s="2">
        <v>0.46666666666666667</v>
      </c>
      <c r="D332" t="s">
        <v>25</v>
      </c>
      <c r="E332" t="s">
        <v>32</v>
      </c>
      <c r="F332" t="s">
        <v>27</v>
      </c>
      <c r="G332" t="s">
        <v>360</v>
      </c>
      <c r="H332" t="s">
        <v>29</v>
      </c>
      <c r="I332" t="s">
        <v>29</v>
      </c>
      <c r="J332">
        <v>12</v>
      </c>
      <c r="K332">
        <v>0</v>
      </c>
      <c r="L332">
        <v>1</v>
      </c>
      <c r="M332">
        <v>122</v>
      </c>
      <c r="N332">
        <v>183</v>
      </c>
      <c r="O332">
        <v>0</v>
      </c>
      <c r="P332">
        <v>14812</v>
      </c>
      <c r="Q332">
        <v>1.07</v>
      </c>
      <c r="R332">
        <v>15811</v>
      </c>
      <c r="S332">
        <v>612</v>
      </c>
      <c r="T332">
        <v>122</v>
      </c>
      <c r="U332">
        <v>134</v>
      </c>
      <c r="V332">
        <v>75</v>
      </c>
      <c r="W332">
        <v>0</v>
      </c>
      <c r="X332">
        <v>11</v>
      </c>
      <c r="Y332" t="s">
        <v>497</v>
      </c>
      <c r="Z332">
        <v>943</v>
      </c>
      <c r="AA332" t="s">
        <v>498</v>
      </c>
    </row>
    <row r="333" spans="1:27" x14ac:dyDescent="0.25">
      <c r="A333" t="s">
        <v>374</v>
      </c>
      <c r="B333" s="1">
        <v>46002</v>
      </c>
      <c r="C333" s="2">
        <v>0.78263888888888888</v>
      </c>
      <c r="D333" t="s">
        <v>38</v>
      </c>
      <c r="E333" t="s">
        <v>32</v>
      </c>
      <c r="F333" t="s">
        <v>33</v>
      </c>
      <c r="G333" t="s">
        <v>360</v>
      </c>
      <c r="H333" t="s">
        <v>29</v>
      </c>
      <c r="I333" t="s">
        <v>29</v>
      </c>
      <c r="J333">
        <v>15</v>
      </c>
      <c r="K333">
        <v>0</v>
      </c>
      <c r="L333">
        <v>9</v>
      </c>
      <c r="M333">
        <v>126</v>
      </c>
      <c r="N333">
        <v>160</v>
      </c>
      <c r="O333">
        <v>0</v>
      </c>
      <c r="P333">
        <v>14242</v>
      </c>
      <c r="Q333">
        <v>1.1499999999999999</v>
      </c>
      <c r="R333">
        <v>16435</v>
      </c>
      <c r="S333">
        <v>960</v>
      </c>
      <c r="T333">
        <v>185</v>
      </c>
      <c r="U333">
        <v>223</v>
      </c>
      <c r="V333">
        <v>121</v>
      </c>
      <c r="W333">
        <v>0</v>
      </c>
      <c r="X333">
        <v>1</v>
      </c>
      <c r="Y333" t="s">
        <v>497</v>
      </c>
      <c r="Z333">
        <v>1489</v>
      </c>
      <c r="AA333" t="s">
        <v>498</v>
      </c>
    </row>
    <row r="334" spans="1:27" x14ac:dyDescent="0.25">
      <c r="A334" t="s">
        <v>375</v>
      </c>
      <c r="B334" s="1">
        <v>46005</v>
      </c>
      <c r="C334" s="2">
        <v>0.74652777777777779</v>
      </c>
      <c r="D334" t="s">
        <v>38</v>
      </c>
      <c r="E334" t="s">
        <v>48</v>
      </c>
      <c r="F334" t="s">
        <v>27</v>
      </c>
      <c r="G334" t="s">
        <v>360</v>
      </c>
      <c r="H334" t="s">
        <v>29</v>
      </c>
      <c r="I334" t="s">
        <v>29</v>
      </c>
      <c r="J334">
        <v>4</v>
      </c>
      <c r="K334">
        <v>0</v>
      </c>
      <c r="L334">
        <v>1</v>
      </c>
      <c r="M334">
        <v>150</v>
      </c>
      <c r="N334">
        <v>75</v>
      </c>
      <c r="O334">
        <v>0</v>
      </c>
      <c r="P334">
        <v>7142</v>
      </c>
      <c r="Q334">
        <v>1.05</v>
      </c>
      <c r="R334">
        <v>7532</v>
      </c>
      <c r="S334">
        <v>103</v>
      </c>
      <c r="T334">
        <v>22</v>
      </c>
      <c r="U334">
        <v>33</v>
      </c>
      <c r="V334">
        <v>8</v>
      </c>
      <c r="W334">
        <v>0</v>
      </c>
      <c r="X334">
        <v>16</v>
      </c>
      <c r="Y334" t="s">
        <v>497</v>
      </c>
      <c r="Z334">
        <v>166</v>
      </c>
      <c r="AA334" t="s">
        <v>498</v>
      </c>
    </row>
    <row r="335" spans="1:27" x14ac:dyDescent="0.25">
      <c r="A335" t="s">
        <v>376</v>
      </c>
      <c r="B335" s="1">
        <v>46006</v>
      </c>
      <c r="C335" s="2">
        <v>0.30416666666666664</v>
      </c>
      <c r="D335" t="s">
        <v>31</v>
      </c>
      <c r="E335" t="s">
        <v>32</v>
      </c>
      <c r="F335" t="s">
        <v>45</v>
      </c>
      <c r="G335" t="s">
        <v>360</v>
      </c>
      <c r="H335" t="s">
        <v>36</v>
      </c>
      <c r="I335" t="s">
        <v>29</v>
      </c>
      <c r="J335">
        <v>14</v>
      </c>
      <c r="K335">
        <v>78</v>
      </c>
      <c r="L335">
        <v>1</v>
      </c>
      <c r="M335">
        <v>190</v>
      </c>
      <c r="N335">
        <v>123</v>
      </c>
      <c r="O335">
        <v>588</v>
      </c>
      <c r="P335">
        <v>20403</v>
      </c>
      <c r="Q335">
        <v>1.7</v>
      </c>
      <c r="R335">
        <v>34642</v>
      </c>
      <c r="S335">
        <v>1014</v>
      </c>
      <c r="T335">
        <v>200</v>
      </c>
      <c r="U335">
        <v>250</v>
      </c>
      <c r="V335">
        <v>121</v>
      </c>
      <c r="W335">
        <v>0</v>
      </c>
      <c r="X335">
        <v>12</v>
      </c>
      <c r="Y335" t="s">
        <v>497</v>
      </c>
      <c r="Z335">
        <v>1585</v>
      </c>
      <c r="AA335" t="s">
        <v>498</v>
      </c>
    </row>
    <row r="336" spans="1:27" x14ac:dyDescent="0.25">
      <c r="A336" t="s">
        <v>377</v>
      </c>
      <c r="B336" s="1">
        <v>46006</v>
      </c>
      <c r="C336" s="2">
        <v>0.56458333333333333</v>
      </c>
      <c r="D336" t="s">
        <v>25</v>
      </c>
      <c r="E336" t="s">
        <v>26</v>
      </c>
      <c r="F336" t="s">
        <v>27</v>
      </c>
      <c r="G336" t="s">
        <v>360</v>
      </c>
      <c r="H336" t="s">
        <v>36</v>
      </c>
      <c r="I336" t="s">
        <v>29</v>
      </c>
      <c r="J336">
        <v>4</v>
      </c>
      <c r="K336">
        <v>0</v>
      </c>
      <c r="L336">
        <v>1</v>
      </c>
      <c r="M336">
        <v>203</v>
      </c>
      <c r="N336">
        <v>159</v>
      </c>
      <c r="O336">
        <v>708</v>
      </c>
      <c r="P336">
        <v>37544</v>
      </c>
      <c r="Q336">
        <v>2.12</v>
      </c>
      <c r="R336">
        <v>79738</v>
      </c>
      <c r="S336">
        <v>4075</v>
      </c>
      <c r="T336">
        <v>558</v>
      </c>
      <c r="U336">
        <v>829</v>
      </c>
      <c r="V336">
        <v>122</v>
      </c>
      <c r="W336">
        <v>0</v>
      </c>
      <c r="X336">
        <v>83</v>
      </c>
      <c r="Y336" t="s">
        <v>497</v>
      </c>
      <c r="Z336">
        <v>5584</v>
      </c>
      <c r="AA336" t="s">
        <v>498</v>
      </c>
    </row>
    <row r="337" spans="1:27" x14ac:dyDescent="0.25">
      <c r="A337" t="s">
        <v>378</v>
      </c>
      <c r="B337" s="1">
        <v>46006</v>
      </c>
      <c r="C337" s="2">
        <v>0.86597222222222225</v>
      </c>
      <c r="D337" t="s">
        <v>35</v>
      </c>
      <c r="E337" t="s">
        <v>39</v>
      </c>
      <c r="F337" t="s">
        <v>42</v>
      </c>
      <c r="G337" t="s">
        <v>360</v>
      </c>
      <c r="H337" t="s">
        <v>36</v>
      </c>
      <c r="I337" t="s">
        <v>29</v>
      </c>
      <c r="J337">
        <v>2</v>
      </c>
      <c r="K337">
        <v>0</v>
      </c>
      <c r="L337">
        <v>1</v>
      </c>
      <c r="M337">
        <v>182</v>
      </c>
      <c r="N337">
        <v>71</v>
      </c>
      <c r="O337">
        <v>381</v>
      </c>
      <c r="P337">
        <v>23486</v>
      </c>
      <c r="Q337">
        <v>1.41</v>
      </c>
      <c r="R337">
        <v>33196</v>
      </c>
      <c r="S337">
        <v>897</v>
      </c>
      <c r="T337">
        <v>332</v>
      </c>
      <c r="U337">
        <v>414</v>
      </c>
      <c r="V337">
        <v>0</v>
      </c>
      <c r="W337">
        <v>0</v>
      </c>
      <c r="X337">
        <v>8</v>
      </c>
      <c r="Y337" t="s">
        <v>497</v>
      </c>
      <c r="Z337">
        <v>1643</v>
      </c>
      <c r="AA337" t="s">
        <v>498</v>
      </c>
    </row>
    <row r="338" spans="1:27" x14ac:dyDescent="0.25">
      <c r="A338" t="s">
        <v>379</v>
      </c>
      <c r="B338" s="1">
        <v>46007</v>
      </c>
      <c r="C338" s="2">
        <v>0.65416666666666667</v>
      </c>
      <c r="D338" t="s">
        <v>38</v>
      </c>
      <c r="E338" t="s">
        <v>48</v>
      </c>
      <c r="F338" t="s">
        <v>42</v>
      </c>
      <c r="G338" t="s">
        <v>360</v>
      </c>
      <c r="H338" t="s">
        <v>29</v>
      </c>
      <c r="I338" t="s">
        <v>36</v>
      </c>
      <c r="J338">
        <v>2</v>
      </c>
      <c r="K338">
        <v>0</v>
      </c>
      <c r="L338">
        <v>1</v>
      </c>
      <c r="M338">
        <v>214</v>
      </c>
      <c r="N338">
        <v>45</v>
      </c>
      <c r="O338">
        <v>0</v>
      </c>
      <c r="P338">
        <v>20708</v>
      </c>
      <c r="Q338">
        <v>1.18</v>
      </c>
      <c r="R338">
        <v>24397</v>
      </c>
      <c r="S338">
        <v>325</v>
      </c>
      <c r="T338">
        <v>81</v>
      </c>
      <c r="U338">
        <v>129</v>
      </c>
      <c r="V338">
        <v>24</v>
      </c>
      <c r="W338">
        <v>280</v>
      </c>
      <c r="X338">
        <v>0</v>
      </c>
      <c r="Y338" t="s">
        <v>497</v>
      </c>
      <c r="Z338">
        <v>839</v>
      </c>
      <c r="AA338" t="s">
        <v>498</v>
      </c>
    </row>
    <row r="339" spans="1:27" x14ac:dyDescent="0.25">
      <c r="A339" t="s">
        <v>380</v>
      </c>
      <c r="B339" s="1">
        <v>46008</v>
      </c>
      <c r="C339" s="2">
        <v>0.8833333333333333</v>
      </c>
      <c r="D339" t="s">
        <v>35</v>
      </c>
      <c r="E339" t="s">
        <v>48</v>
      </c>
      <c r="F339" t="s">
        <v>45</v>
      </c>
      <c r="G339" t="s">
        <v>360</v>
      </c>
      <c r="H339" t="s">
        <v>29</v>
      </c>
      <c r="I339" t="s">
        <v>29</v>
      </c>
      <c r="J339">
        <v>6</v>
      </c>
      <c r="K339">
        <v>94</v>
      </c>
      <c r="L339">
        <v>1</v>
      </c>
      <c r="M339">
        <v>193</v>
      </c>
      <c r="N339">
        <v>240</v>
      </c>
      <c r="O339">
        <v>0</v>
      </c>
      <c r="P339">
        <v>5515</v>
      </c>
      <c r="Q339">
        <v>1.1299999999999999</v>
      </c>
      <c r="R339">
        <v>6213</v>
      </c>
      <c r="S339">
        <v>145</v>
      </c>
      <c r="T339">
        <v>36</v>
      </c>
      <c r="U339">
        <v>51</v>
      </c>
      <c r="V339">
        <v>11</v>
      </c>
      <c r="W339">
        <v>0</v>
      </c>
      <c r="X339">
        <v>0</v>
      </c>
      <c r="Y339" t="s">
        <v>497</v>
      </c>
      <c r="Z339">
        <v>243</v>
      </c>
      <c r="AA339" t="s">
        <v>498</v>
      </c>
    </row>
    <row r="340" spans="1:27" x14ac:dyDescent="0.25">
      <c r="A340" t="s">
        <v>381</v>
      </c>
      <c r="B340" s="1">
        <v>46009</v>
      </c>
      <c r="C340" s="2">
        <v>0.33611111111111114</v>
      </c>
      <c r="D340" t="s">
        <v>31</v>
      </c>
      <c r="E340" t="s">
        <v>39</v>
      </c>
      <c r="F340" t="s">
        <v>42</v>
      </c>
      <c r="G340" t="s">
        <v>360</v>
      </c>
      <c r="H340" t="s">
        <v>29</v>
      </c>
      <c r="I340" t="s">
        <v>29</v>
      </c>
      <c r="J340">
        <v>1</v>
      </c>
      <c r="K340">
        <v>0</v>
      </c>
      <c r="L340">
        <v>1</v>
      </c>
      <c r="M340">
        <v>351</v>
      </c>
      <c r="N340">
        <v>82</v>
      </c>
      <c r="O340">
        <v>0</v>
      </c>
      <c r="P340">
        <v>5905</v>
      </c>
      <c r="Q340">
        <v>1.06</v>
      </c>
      <c r="R340">
        <v>6269</v>
      </c>
      <c r="S340">
        <v>115</v>
      </c>
      <c r="T340">
        <v>45</v>
      </c>
      <c r="U340">
        <v>54</v>
      </c>
      <c r="V340">
        <v>0</v>
      </c>
      <c r="W340">
        <v>0</v>
      </c>
      <c r="X340">
        <v>10</v>
      </c>
      <c r="Y340" t="s">
        <v>499</v>
      </c>
      <c r="Z340">
        <v>214</v>
      </c>
      <c r="AA340" t="s">
        <v>498</v>
      </c>
    </row>
    <row r="341" spans="1:27" x14ac:dyDescent="0.25">
      <c r="A341" t="s">
        <v>382</v>
      </c>
      <c r="B341" s="1">
        <v>46009</v>
      </c>
      <c r="C341" s="2">
        <v>0.49375000000000002</v>
      </c>
      <c r="D341" t="s">
        <v>25</v>
      </c>
      <c r="E341" t="s">
        <v>26</v>
      </c>
      <c r="F341" t="s">
        <v>27</v>
      </c>
      <c r="G341" t="s">
        <v>360</v>
      </c>
      <c r="H341" t="s">
        <v>36</v>
      </c>
      <c r="I341" t="s">
        <v>29</v>
      </c>
      <c r="J341">
        <v>8</v>
      </c>
      <c r="K341">
        <v>0</v>
      </c>
      <c r="L341">
        <v>1</v>
      </c>
      <c r="M341">
        <v>166</v>
      </c>
      <c r="N341">
        <v>125</v>
      </c>
      <c r="O341">
        <v>468</v>
      </c>
      <c r="P341">
        <v>77261</v>
      </c>
      <c r="Q341">
        <v>1.33</v>
      </c>
      <c r="R341">
        <v>102818</v>
      </c>
      <c r="S341">
        <v>4619</v>
      </c>
      <c r="T341">
        <v>670</v>
      </c>
      <c r="U341">
        <v>1224</v>
      </c>
      <c r="V341">
        <v>124</v>
      </c>
      <c r="W341">
        <v>0</v>
      </c>
      <c r="X341">
        <v>94</v>
      </c>
      <c r="Y341" t="s">
        <v>497</v>
      </c>
      <c r="Z341">
        <v>6637</v>
      </c>
      <c r="AA341" t="s">
        <v>498</v>
      </c>
    </row>
    <row r="342" spans="1:27" x14ac:dyDescent="0.25">
      <c r="A342" t="s">
        <v>383</v>
      </c>
      <c r="B342" s="1">
        <v>46009</v>
      </c>
      <c r="C342" s="2">
        <v>0.49930555555555556</v>
      </c>
      <c r="D342" t="s">
        <v>25</v>
      </c>
      <c r="E342" t="s">
        <v>26</v>
      </c>
      <c r="F342" t="s">
        <v>27</v>
      </c>
      <c r="G342" t="s">
        <v>360</v>
      </c>
      <c r="H342" t="s">
        <v>36</v>
      </c>
      <c r="I342" t="s">
        <v>36</v>
      </c>
      <c r="J342">
        <v>6</v>
      </c>
      <c r="K342">
        <v>0</v>
      </c>
      <c r="L342">
        <v>1</v>
      </c>
      <c r="M342">
        <v>130</v>
      </c>
      <c r="N342">
        <v>162</v>
      </c>
      <c r="O342">
        <v>657</v>
      </c>
      <c r="P342">
        <v>84031</v>
      </c>
      <c r="Q342">
        <v>1.36</v>
      </c>
      <c r="R342">
        <v>114124</v>
      </c>
      <c r="S342">
        <v>1512</v>
      </c>
      <c r="T342">
        <v>199</v>
      </c>
      <c r="U342">
        <v>392</v>
      </c>
      <c r="V342">
        <v>51</v>
      </c>
      <c r="W342">
        <v>1758</v>
      </c>
      <c r="X342">
        <v>190</v>
      </c>
      <c r="Y342" t="s">
        <v>497</v>
      </c>
      <c r="Z342">
        <v>3912</v>
      </c>
      <c r="AA342" t="s">
        <v>498</v>
      </c>
    </row>
    <row r="343" spans="1:27" x14ac:dyDescent="0.25">
      <c r="A343" t="s">
        <v>384</v>
      </c>
      <c r="B343" s="1">
        <v>46010</v>
      </c>
      <c r="C343" s="2">
        <v>0.47152777777777777</v>
      </c>
      <c r="D343" t="s">
        <v>25</v>
      </c>
      <c r="E343" t="s">
        <v>39</v>
      </c>
      <c r="F343" t="s">
        <v>27</v>
      </c>
      <c r="G343" t="s">
        <v>360</v>
      </c>
      <c r="H343" t="s">
        <v>29</v>
      </c>
      <c r="I343" t="s">
        <v>36</v>
      </c>
      <c r="J343">
        <v>4</v>
      </c>
      <c r="K343">
        <v>0</v>
      </c>
      <c r="L343">
        <v>1</v>
      </c>
      <c r="M343">
        <v>92</v>
      </c>
      <c r="N343">
        <v>76</v>
      </c>
      <c r="O343">
        <v>0</v>
      </c>
      <c r="P343">
        <v>8380</v>
      </c>
      <c r="Q343">
        <v>1.1299999999999999</v>
      </c>
      <c r="R343">
        <v>9436</v>
      </c>
      <c r="S343">
        <v>228</v>
      </c>
      <c r="T343">
        <v>90</v>
      </c>
      <c r="U343">
        <v>118</v>
      </c>
      <c r="V343">
        <v>0</v>
      </c>
      <c r="W343">
        <v>203</v>
      </c>
      <c r="X343">
        <v>7</v>
      </c>
      <c r="Y343" t="s">
        <v>501</v>
      </c>
      <c r="Z343">
        <v>639</v>
      </c>
      <c r="AA343" t="s">
        <v>498</v>
      </c>
    </row>
    <row r="344" spans="1:27" x14ac:dyDescent="0.25">
      <c r="A344" t="s">
        <v>385</v>
      </c>
      <c r="B344" s="1">
        <v>46012</v>
      </c>
      <c r="C344" s="2">
        <v>0.57499999999999996</v>
      </c>
      <c r="D344" t="s">
        <v>25</v>
      </c>
      <c r="E344" t="s">
        <v>48</v>
      </c>
      <c r="F344" t="s">
        <v>45</v>
      </c>
      <c r="G344" t="s">
        <v>360</v>
      </c>
      <c r="H344" t="s">
        <v>29</v>
      </c>
      <c r="I344" t="s">
        <v>29</v>
      </c>
      <c r="J344">
        <v>5</v>
      </c>
      <c r="K344">
        <v>166</v>
      </c>
      <c r="L344">
        <v>1</v>
      </c>
      <c r="M344">
        <v>109</v>
      </c>
      <c r="N344">
        <v>322</v>
      </c>
      <c r="O344">
        <v>0</v>
      </c>
      <c r="P344">
        <v>14882</v>
      </c>
      <c r="Q344">
        <v>1.1399999999999999</v>
      </c>
      <c r="R344">
        <v>16911</v>
      </c>
      <c r="S344">
        <v>396</v>
      </c>
      <c r="T344">
        <v>105</v>
      </c>
      <c r="U344">
        <v>136</v>
      </c>
      <c r="V344">
        <v>32</v>
      </c>
      <c r="W344">
        <v>0</v>
      </c>
      <c r="X344">
        <v>12</v>
      </c>
      <c r="Y344" t="s">
        <v>497</v>
      </c>
      <c r="Z344">
        <v>669</v>
      </c>
      <c r="AA344" t="s">
        <v>498</v>
      </c>
    </row>
    <row r="345" spans="1:27" x14ac:dyDescent="0.25">
      <c r="A345" t="s">
        <v>386</v>
      </c>
      <c r="B345" s="1">
        <v>46013</v>
      </c>
      <c r="C345" s="2">
        <v>0.38680555555555557</v>
      </c>
      <c r="D345" t="s">
        <v>31</v>
      </c>
      <c r="E345" t="s">
        <v>32</v>
      </c>
      <c r="F345" t="s">
        <v>33</v>
      </c>
      <c r="G345" t="s">
        <v>360</v>
      </c>
      <c r="H345" t="s">
        <v>29</v>
      </c>
      <c r="I345" t="s">
        <v>29</v>
      </c>
      <c r="J345">
        <v>14</v>
      </c>
      <c r="K345">
        <v>0</v>
      </c>
      <c r="L345">
        <v>10</v>
      </c>
      <c r="M345">
        <v>173</v>
      </c>
      <c r="N345">
        <v>150</v>
      </c>
      <c r="O345">
        <v>0</v>
      </c>
      <c r="P345">
        <v>6497</v>
      </c>
      <c r="Q345">
        <v>1.18</v>
      </c>
      <c r="R345">
        <v>7640</v>
      </c>
      <c r="S345">
        <v>412</v>
      </c>
      <c r="T345">
        <v>76</v>
      </c>
      <c r="U345">
        <v>97</v>
      </c>
      <c r="V345">
        <v>52</v>
      </c>
      <c r="W345">
        <v>0</v>
      </c>
      <c r="X345">
        <v>4</v>
      </c>
      <c r="Y345" t="s">
        <v>497</v>
      </c>
      <c r="Z345">
        <v>637</v>
      </c>
      <c r="AA345" t="s">
        <v>498</v>
      </c>
    </row>
    <row r="346" spans="1:27" x14ac:dyDescent="0.25">
      <c r="A346" t="s">
        <v>387</v>
      </c>
      <c r="B346" s="1">
        <v>46013</v>
      </c>
      <c r="C346" s="2">
        <v>0.6430555555555556</v>
      </c>
      <c r="D346" t="s">
        <v>38</v>
      </c>
      <c r="E346" t="s">
        <v>39</v>
      </c>
      <c r="F346" t="s">
        <v>33</v>
      </c>
      <c r="G346" t="s">
        <v>360</v>
      </c>
      <c r="H346" t="s">
        <v>29</v>
      </c>
      <c r="I346" t="s">
        <v>36</v>
      </c>
      <c r="J346">
        <v>3</v>
      </c>
      <c r="K346">
        <v>0</v>
      </c>
      <c r="L346">
        <v>6</v>
      </c>
      <c r="M346">
        <v>167</v>
      </c>
      <c r="N346">
        <v>204</v>
      </c>
      <c r="O346">
        <v>0</v>
      </c>
      <c r="P346">
        <v>8912</v>
      </c>
      <c r="Q346">
        <v>1.02</v>
      </c>
      <c r="R346">
        <v>9079</v>
      </c>
      <c r="S346">
        <v>168</v>
      </c>
      <c r="T346">
        <v>69</v>
      </c>
      <c r="U346">
        <v>87</v>
      </c>
      <c r="V346">
        <v>0</v>
      </c>
      <c r="W346">
        <v>179</v>
      </c>
      <c r="X346">
        <v>10</v>
      </c>
      <c r="Y346" t="s">
        <v>497</v>
      </c>
      <c r="Z346">
        <v>503</v>
      </c>
      <c r="AA346" t="s">
        <v>498</v>
      </c>
    </row>
    <row r="347" spans="1:27" x14ac:dyDescent="0.25">
      <c r="A347" t="s">
        <v>388</v>
      </c>
      <c r="B347" s="1">
        <v>46014</v>
      </c>
      <c r="C347" s="2">
        <v>0.28472222222222221</v>
      </c>
      <c r="D347" t="s">
        <v>31</v>
      </c>
      <c r="E347" t="s">
        <v>48</v>
      </c>
      <c r="F347" t="s">
        <v>33</v>
      </c>
      <c r="G347" t="s">
        <v>360</v>
      </c>
      <c r="H347" t="s">
        <v>29</v>
      </c>
      <c r="I347" t="s">
        <v>36</v>
      </c>
      <c r="J347">
        <v>5</v>
      </c>
      <c r="K347">
        <v>0</v>
      </c>
      <c r="L347">
        <v>4</v>
      </c>
      <c r="M347">
        <v>101</v>
      </c>
      <c r="N347">
        <v>83</v>
      </c>
      <c r="O347">
        <v>0</v>
      </c>
      <c r="P347">
        <v>11808</v>
      </c>
      <c r="Q347">
        <v>1.05</v>
      </c>
      <c r="R347">
        <v>12404</v>
      </c>
      <c r="S347">
        <v>275</v>
      </c>
      <c r="T347">
        <v>74</v>
      </c>
      <c r="U347">
        <v>86</v>
      </c>
      <c r="V347">
        <v>24</v>
      </c>
      <c r="W347">
        <v>404</v>
      </c>
      <c r="X347">
        <v>4</v>
      </c>
      <c r="Y347" t="s">
        <v>497</v>
      </c>
      <c r="Z347">
        <v>863</v>
      </c>
      <c r="AA347" t="s">
        <v>498</v>
      </c>
    </row>
    <row r="348" spans="1:27" x14ac:dyDescent="0.25">
      <c r="A348" t="s">
        <v>389</v>
      </c>
      <c r="B348" s="1">
        <v>46014</v>
      </c>
      <c r="C348" s="2">
        <v>0.70486111111111116</v>
      </c>
      <c r="D348" t="s">
        <v>38</v>
      </c>
      <c r="E348" t="s">
        <v>32</v>
      </c>
      <c r="F348" t="s">
        <v>33</v>
      </c>
      <c r="G348" t="s">
        <v>360</v>
      </c>
      <c r="H348" t="s">
        <v>29</v>
      </c>
      <c r="I348" t="s">
        <v>29</v>
      </c>
      <c r="J348">
        <v>11</v>
      </c>
      <c r="K348">
        <v>0</v>
      </c>
      <c r="L348">
        <v>5</v>
      </c>
      <c r="M348">
        <v>267</v>
      </c>
      <c r="N348">
        <v>133</v>
      </c>
      <c r="O348">
        <v>0</v>
      </c>
      <c r="P348">
        <v>8418</v>
      </c>
      <c r="Q348">
        <v>1</v>
      </c>
      <c r="R348">
        <v>8418</v>
      </c>
      <c r="S348">
        <v>539</v>
      </c>
      <c r="T348">
        <v>80</v>
      </c>
      <c r="U348">
        <v>107</v>
      </c>
      <c r="V348">
        <v>67</v>
      </c>
      <c r="W348">
        <v>0</v>
      </c>
      <c r="X348">
        <v>20</v>
      </c>
      <c r="Y348" t="s">
        <v>499</v>
      </c>
      <c r="Z348">
        <v>793</v>
      </c>
      <c r="AA348" t="s">
        <v>498</v>
      </c>
    </row>
    <row r="349" spans="1:27" x14ac:dyDescent="0.25">
      <c r="A349" t="s">
        <v>390</v>
      </c>
      <c r="B349" s="1">
        <v>46014</v>
      </c>
      <c r="C349" s="2">
        <v>0.76527777777777772</v>
      </c>
      <c r="D349" t="s">
        <v>38</v>
      </c>
      <c r="E349" t="s">
        <v>26</v>
      </c>
      <c r="F349" t="s">
        <v>27</v>
      </c>
      <c r="G349" t="s">
        <v>360</v>
      </c>
      <c r="H349" t="s">
        <v>29</v>
      </c>
      <c r="I349" t="s">
        <v>29</v>
      </c>
      <c r="J349">
        <v>5</v>
      </c>
      <c r="K349">
        <v>0</v>
      </c>
      <c r="L349">
        <v>1</v>
      </c>
      <c r="M349">
        <v>117</v>
      </c>
      <c r="N349">
        <v>168</v>
      </c>
      <c r="O349">
        <v>0</v>
      </c>
      <c r="P349">
        <v>29062</v>
      </c>
      <c r="Q349">
        <v>1.1100000000000001</v>
      </c>
      <c r="R349">
        <v>32333</v>
      </c>
      <c r="S349">
        <v>1034</v>
      </c>
      <c r="T349">
        <v>153</v>
      </c>
      <c r="U349">
        <v>237</v>
      </c>
      <c r="V349">
        <v>26</v>
      </c>
      <c r="W349">
        <v>0</v>
      </c>
      <c r="X349">
        <v>14</v>
      </c>
      <c r="Y349" t="s">
        <v>497</v>
      </c>
      <c r="Z349">
        <v>1450</v>
      </c>
      <c r="AA349" t="s">
        <v>498</v>
      </c>
    </row>
    <row r="350" spans="1:27" x14ac:dyDescent="0.25">
      <c r="A350" t="s">
        <v>391</v>
      </c>
      <c r="B350" s="1">
        <v>46016</v>
      </c>
      <c r="C350" s="2">
        <v>0.60833333333333328</v>
      </c>
      <c r="D350" t="s">
        <v>25</v>
      </c>
      <c r="E350" t="s">
        <v>26</v>
      </c>
      <c r="F350" t="s">
        <v>45</v>
      </c>
      <c r="G350" t="s">
        <v>360</v>
      </c>
      <c r="H350" t="s">
        <v>29</v>
      </c>
      <c r="I350" t="s">
        <v>29</v>
      </c>
      <c r="J350">
        <v>6</v>
      </c>
      <c r="K350">
        <v>50</v>
      </c>
      <c r="L350">
        <v>1</v>
      </c>
      <c r="M350">
        <v>192</v>
      </c>
      <c r="N350">
        <v>261</v>
      </c>
      <c r="O350">
        <v>0</v>
      </c>
      <c r="P350">
        <v>46009</v>
      </c>
      <c r="Q350">
        <v>1.08</v>
      </c>
      <c r="R350">
        <v>49527</v>
      </c>
      <c r="S350">
        <v>6339</v>
      </c>
      <c r="T350">
        <v>1041</v>
      </c>
      <c r="U350">
        <v>1673</v>
      </c>
      <c r="V350">
        <v>196</v>
      </c>
      <c r="W350">
        <v>0</v>
      </c>
      <c r="X350">
        <v>93</v>
      </c>
      <c r="Y350" t="s">
        <v>497</v>
      </c>
      <c r="Z350">
        <v>9249</v>
      </c>
      <c r="AA350" t="s">
        <v>498</v>
      </c>
    </row>
    <row r="351" spans="1:27" x14ac:dyDescent="0.25">
      <c r="A351" t="s">
        <v>392</v>
      </c>
      <c r="B351" s="1">
        <v>46016</v>
      </c>
      <c r="C351" s="2">
        <v>0.83750000000000002</v>
      </c>
      <c r="D351" t="s">
        <v>35</v>
      </c>
      <c r="E351" t="s">
        <v>32</v>
      </c>
      <c r="F351" t="s">
        <v>45</v>
      </c>
      <c r="G351" t="s">
        <v>360</v>
      </c>
      <c r="H351" t="s">
        <v>29</v>
      </c>
      <c r="I351" t="s">
        <v>29</v>
      </c>
      <c r="J351">
        <v>5</v>
      </c>
      <c r="K351">
        <v>43</v>
      </c>
      <c r="L351">
        <v>1</v>
      </c>
      <c r="M351">
        <v>197</v>
      </c>
      <c r="N351">
        <v>282</v>
      </c>
      <c r="O351">
        <v>0</v>
      </c>
      <c r="P351">
        <v>14150</v>
      </c>
      <c r="Q351">
        <v>1.1599999999999999</v>
      </c>
      <c r="R351">
        <v>16390</v>
      </c>
      <c r="S351">
        <v>1066</v>
      </c>
      <c r="T351">
        <v>166</v>
      </c>
      <c r="U351">
        <v>236</v>
      </c>
      <c r="V351">
        <v>134</v>
      </c>
      <c r="W351">
        <v>0</v>
      </c>
      <c r="X351">
        <v>1</v>
      </c>
      <c r="Y351" t="s">
        <v>497</v>
      </c>
      <c r="Z351">
        <v>1602</v>
      </c>
      <c r="AA351" t="s">
        <v>498</v>
      </c>
    </row>
    <row r="352" spans="1:27" x14ac:dyDescent="0.25">
      <c r="A352" t="s">
        <v>393</v>
      </c>
      <c r="B352" s="1">
        <v>46017</v>
      </c>
      <c r="C352" s="2">
        <v>0.51875000000000004</v>
      </c>
      <c r="D352" t="s">
        <v>25</v>
      </c>
      <c r="E352" t="s">
        <v>26</v>
      </c>
      <c r="F352" t="s">
        <v>33</v>
      </c>
      <c r="G352" t="s">
        <v>360</v>
      </c>
      <c r="H352" t="s">
        <v>29</v>
      </c>
      <c r="I352" t="s">
        <v>29</v>
      </c>
      <c r="J352">
        <v>5</v>
      </c>
      <c r="K352">
        <v>0</v>
      </c>
      <c r="L352">
        <v>5</v>
      </c>
      <c r="M352">
        <v>141</v>
      </c>
      <c r="N352">
        <v>211</v>
      </c>
      <c r="O352">
        <v>0</v>
      </c>
      <c r="P352">
        <v>19350</v>
      </c>
      <c r="Q352">
        <v>1.26</v>
      </c>
      <c r="R352">
        <v>24431</v>
      </c>
      <c r="S352">
        <v>565</v>
      </c>
      <c r="T352">
        <v>74</v>
      </c>
      <c r="U352">
        <v>124</v>
      </c>
      <c r="V352">
        <v>12</v>
      </c>
      <c r="W352">
        <v>0</v>
      </c>
      <c r="X352">
        <v>6</v>
      </c>
      <c r="Y352" t="s">
        <v>497</v>
      </c>
      <c r="Z352">
        <v>775</v>
      </c>
      <c r="AA352" t="s">
        <v>498</v>
      </c>
    </row>
    <row r="353" spans="1:27" x14ac:dyDescent="0.25">
      <c r="A353" t="s">
        <v>394</v>
      </c>
      <c r="B353" s="1">
        <v>46017</v>
      </c>
      <c r="C353" s="2">
        <v>0.7</v>
      </c>
      <c r="D353" t="s">
        <v>38</v>
      </c>
      <c r="E353" t="s">
        <v>26</v>
      </c>
      <c r="F353" t="s">
        <v>33</v>
      </c>
      <c r="G353" t="s">
        <v>360</v>
      </c>
      <c r="H353" t="s">
        <v>29</v>
      </c>
      <c r="I353" t="s">
        <v>29</v>
      </c>
      <c r="J353">
        <v>3</v>
      </c>
      <c r="K353">
        <v>0</v>
      </c>
      <c r="L353">
        <v>6</v>
      </c>
      <c r="M353">
        <v>300</v>
      </c>
      <c r="N353">
        <v>136</v>
      </c>
      <c r="O353">
        <v>0</v>
      </c>
      <c r="P353">
        <v>38008</v>
      </c>
      <c r="Q353">
        <v>1.43</v>
      </c>
      <c r="R353">
        <v>54176</v>
      </c>
      <c r="S353">
        <v>1859</v>
      </c>
      <c r="T353">
        <v>254</v>
      </c>
      <c r="U353">
        <v>442</v>
      </c>
      <c r="V353">
        <v>56</v>
      </c>
      <c r="W353">
        <v>0</v>
      </c>
      <c r="X353">
        <v>54</v>
      </c>
      <c r="Y353" t="s">
        <v>499</v>
      </c>
      <c r="Z353">
        <v>2611</v>
      </c>
      <c r="AA353" t="s">
        <v>498</v>
      </c>
    </row>
    <row r="354" spans="1:27" x14ac:dyDescent="0.25">
      <c r="A354" t="s">
        <v>395</v>
      </c>
      <c r="B354" s="1">
        <v>46017</v>
      </c>
      <c r="C354" s="2">
        <v>0.7680555555555556</v>
      </c>
      <c r="D354" t="s">
        <v>38</v>
      </c>
      <c r="E354" t="s">
        <v>32</v>
      </c>
      <c r="F354" t="s">
        <v>33</v>
      </c>
      <c r="G354" t="s">
        <v>360</v>
      </c>
      <c r="H354" t="s">
        <v>36</v>
      </c>
      <c r="I354" t="s">
        <v>36</v>
      </c>
      <c r="J354">
        <v>9</v>
      </c>
      <c r="K354">
        <v>0</v>
      </c>
      <c r="L354">
        <v>4</v>
      </c>
      <c r="M354">
        <v>153</v>
      </c>
      <c r="N354">
        <v>138</v>
      </c>
      <c r="O354">
        <v>466</v>
      </c>
      <c r="P354">
        <v>57903</v>
      </c>
      <c r="Q354">
        <v>1.48</v>
      </c>
      <c r="R354">
        <v>85756</v>
      </c>
      <c r="S354">
        <v>2751</v>
      </c>
      <c r="T354">
        <v>603</v>
      </c>
      <c r="U354">
        <v>702</v>
      </c>
      <c r="V354">
        <v>427</v>
      </c>
      <c r="W354">
        <v>1830</v>
      </c>
      <c r="X354">
        <v>82</v>
      </c>
      <c r="Y354" t="s">
        <v>497</v>
      </c>
      <c r="Z354">
        <v>6313</v>
      </c>
      <c r="AA354" t="s">
        <v>498</v>
      </c>
    </row>
    <row r="355" spans="1:27" x14ac:dyDescent="0.25">
      <c r="A355" t="s">
        <v>396</v>
      </c>
      <c r="B355" s="1">
        <v>46018</v>
      </c>
      <c r="C355" s="2">
        <v>0.55069444444444449</v>
      </c>
      <c r="D355" t="s">
        <v>25</v>
      </c>
      <c r="E355" t="s">
        <v>39</v>
      </c>
      <c r="F355" t="s">
        <v>45</v>
      </c>
      <c r="G355" t="s">
        <v>360</v>
      </c>
      <c r="H355" t="s">
        <v>36</v>
      </c>
      <c r="I355" t="s">
        <v>29</v>
      </c>
      <c r="J355">
        <v>1</v>
      </c>
      <c r="K355">
        <v>40</v>
      </c>
      <c r="L355">
        <v>1</v>
      </c>
      <c r="M355">
        <v>200</v>
      </c>
      <c r="N355">
        <v>157</v>
      </c>
      <c r="O355">
        <v>503</v>
      </c>
      <c r="P355">
        <v>33325</v>
      </c>
      <c r="Q355">
        <v>1.55</v>
      </c>
      <c r="R355">
        <v>51516</v>
      </c>
      <c r="S355">
        <v>1566</v>
      </c>
      <c r="T355">
        <v>523</v>
      </c>
      <c r="U355">
        <v>690</v>
      </c>
      <c r="V355">
        <v>0</v>
      </c>
      <c r="W355">
        <v>0</v>
      </c>
      <c r="X355">
        <v>16</v>
      </c>
      <c r="Y355" t="s">
        <v>497</v>
      </c>
      <c r="Z355">
        <v>2779</v>
      </c>
      <c r="AA355" t="s">
        <v>498</v>
      </c>
    </row>
    <row r="356" spans="1:27" x14ac:dyDescent="0.25">
      <c r="A356" t="s">
        <v>397</v>
      </c>
      <c r="B356" s="1">
        <v>46018</v>
      </c>
      <c r="C356" s="2">
        <v>0.6791666666666667</v>
      </c>
      <c r="D356" t="s">
        <v>38</v>
      </c>
      <c r="E356" t="s">
        <v>26</v>
      </c>
      <c r="F356" t="s">
        <v>42</v>
      </c>
      <c r="G356" t="s">
        <v>360</v>
      </c>
      <c r="H356" t="s">
        <v>36</v>
      </c>
      <c r="I356" t="s">
        <v>29</v>
      </c>
      <c r="J356">
        <v>8</v>
      </c>
      <c r="K356">
        <v>0</v>
      </c>
      <c r="L356">
        <v>1</v>
      </c>
      <c r="M356">
        <v>413</v>
      </c>
      <c r="N356">
        <v>38</v>
      </c>
      <c r="O356">
        <v>358</v>
      </c>
      <c r="P356">
        <v>32124</v>
      </c>
      <c r="Q356">
        <v>1.9</v>
      </c>
      <c r="R356">
        <v>61066</v>
      </c>
      <c r="S356">
        <v>1552</v>
      </c>
      <c r="T356">
        <v>202</v>
      </c>
      <c r="U356">
        <v>372</v>
      </c>
      <c r="V356">
        <v>46</v>
      </c>
      <c r="W356">
        <v>0</v>
      </c>
      <c r="X356">
        <v>91</v>
      </c>
      <c r="Y356" t="s">
        <v>499</v>
      </c>
      <c r="Z356">
        <v>2172</v>
      </c>
      <c r="AA356" t="s">
        <v>498</v>
      </c>
    </row>
    <row r="357" spans="1:27" x14ac:dyDescent="0.25">
      <c r="A357" t="s">
        <v>398</v>
      </c>
      <c r="B357" s="1">
        <v>46020</v>
      </c>
      <c r="C357" s="2">
        <v>0.58611111111111114</v>
      </c>
      <c r="D357" t="s">
        <v>25</v>
      </c>
      <c r="E357" t="s">
        <v>39</v>
      </c>
      <c r="F357" t="s">
        <v>33</v>
      </c>
      <c r="G357" t="s">
        <v>360</v>
      </c>
      <c r="H357" t="s">
        <v>29</v>
      </c>
      <c r="I357" t="s">
        <v>29</v>
      </c>
      <c r="J357">
        <v>4</v>
      </c>
      <c r="K357">
        <v>0</v>
      </c>
      <c r="L357">
        <v>3</v>
      </c>
      <c r="M357">
        <v>109</v>
      </c>
      <c r="N357">
        <v>148</v>
      </c>
      <c r="O357">
        <v>0</v>
      </c>
      <c r="P357">
        <v>13419</v>
      </c>
      <c r="Q357">
        <v>1.1200000000000001</v>
      </c>
      <c r="R357">
        <v>14962</v>
      </c>
      <c r="S357">
        <v>158</v>
      </c>
      <c r="T357">
        <v>56</v>
      </c>
      <c r="U357">
        <v>86</v>
      </c>
      <c r="V357">
        <v>0</v>
      </c>
      <c r="W357">
        <v>0</v>
      </c>
      <c r="X357">
        <v>6</v>
      </c>
      <c r="Y357" t="s">
        <v>497</v>
      </c>
      <c r="Z357">
        <v>300</v>
      </c>
      <c r="AA357" t="s">
        <v>498</v>
      </c>
    </row>
    <row r="358" spans="1:27" x14ac:dyDescent="0.25">
      <c r="A358" t="s">
        <v>399</v>
      </c>
      <c r="B358" s="1">
        <v>46020</v>
      </c>
      <c r="C358" s="2">
        <v>0.77222222222222225</v>
      </c>
      <c r="D358" t="s">
        <v>38</v>
      </c>
      <c r="E358" t="s">
        <v>39</v>
      </c>
      <c r="F358" t="s">
        <v>33</v>
      </c>
      <c r="G358" t="s">
        <v>360</v>
      </c>
      <c r="H358" t="s">
        <v>29</v>
      </c>
      <c r="I358" t="s">
        <v>36</v>
      </c>
      <c r="J358">
        <v>3</v>
      </c>
      <c r="K358">
        <v>0</v>
      </c>
      <c r="L358">
        <v>4</v>
      </c>
      <c r="M358">
        <v>143</v>
      </c>
      <c r="N358">
        <v>117</v>
      </c>
      <c r="O358">
        <v>0</v>
      </c>
      <c r="P358">
        <v>11393</v>
      </c>
      <c r="Q358">
        <v>1</v>
      </c>
      <c r="R358">
        <v>11425</v>
      </c>
      <c r="S358">
        <v>183</v>
      </c>
      <c r="T358">
        <v>65</v>
      </c>
      <c r="U358">
        <v>102</v>
      </c>
      <c r="V358">
        <v>0</v>
      </c>
      <c r="W358">
        <v>401</v>
      </c>
      <c r="X358">
        <v>4</v>
      </c>
      <c r="Y358" t="s">
        <v>497</v>
      </c>
      <c r="Z358">
        <v>751</v>
      </c>
      <c r="AA358" t="s">
        <v>498</v>
      </c>
    </row>
    <row r="359" spans="1:27" x14ac:dyDescent="0.25">
      <c r="A359" t="s">
        <v>400</v>
      </c>
      <c r="B359" s="1">
        <v>46020</v>
      </c>
      <c r="C359" s="2">
        <v>0.77847222222222223</v>
      </c>
      <c r="D359" t="s">
        <v>38</v>
      </c>
      <c r="E359" t="s">
        <v>39</v>
      </c>
      <c r="F359" t="s">
        <v>27</v>
      </c>
      <c r="G359" t="s">
        <v>360</v>
      </c>
      <c r="H359" t="s">
        <v>36</v>
      </c>
      <c r="I359" t="s">
        <v>29</v>
      </c>
      <c r="J359">
        <v>3</v>
      </c>
      <c r="K359">
        <v>0</v>
      </c>
      <c r="L359">
        <v>1</v>
      </c>
      <c r="M359">
        <v>114</v>
      </c>
      <c r="N359">
        <v>200</v>
      </c>
      <c r="O359">
        <v>400</v>
      </c>
      <c r="P359">
        <v>106311</v>
      </c>
      <c r="Q359">
        <v>1.41</v>
      </c>
      <c r="R359">
        <v>149522</v>
      </c>
      <c r="S359">
        <v>3556</v>
      </c>
      <c r="T359">
        <v>1354</v>
      </c>
      <c r="U359">
        <v>1561</v>
      </c>
      <c r="V359">
        <v>0</v>
      </c>
      <c r="W359">
        <v>0</v>
      </c>
      <c r="X359">
        <v>39</v>
      </c>
      <c r="Y359" t="s">
        <v>497</v>
      </c>
      <c r="Z359">
        <v>6471</v>
      </c>
      <c r="AA359" t="s">
        <v>498</v>
      </c>
    </row>
    <row r="360" spans="1:27" x14ac:dyDescent="0.25">
      <c r="A360" t="s">
        <v>401</v>
      </c>
      <c r="B360" s="1">
        <v>46021</v>
      </c>
      <c r="C360" s="2">
        <v>0.26597222222222222</v>
      </c>
      <c r="D360" t="s">
        <v>31</v>
      </c>
      <c r="E360" t="s">
        <v>48</v>
      </c>
      <c r="F360" t="s">
        <v>45</v>
      </c>
      <c r="G360" t="s">
        <v>360</v>
      </c>
      <c r="H360" t="s">
        <v>29</v>
      </c>
      <c r="I360" t="s">
        <v>29</v>
      </c>
      <c r="J360">
        <v>4</v>
      </c>
      <c r="K360">
        <v>169</v>
      </c>
      <c r="L360">
        <v>1</v>
      </c>
      <c r="M360">
        <v>94</v>
      </c>
      <c r="N360">
        <v>354</v>
      </c>
      <c r="O360">
        <v>0</v>
      </c>
      <c r="P360">
        <v>2847</v>
      </c>
      <c r="Q360">
        <v>1.04</v>
      </c>
      <c r="R360">
        <v>2974</v>
      </c>
      <c r="S360">
        <v>55</v>
      </c>
      <c r="T360">
        <v>13</v>
      </c>
      <c r="U360">
        <v>19</v>
      </c>
      <c r="V360">
        <v>4</v>
      </c>
      <c r="W360">
        <v>0</v>
      </c>
      <c r="X360">
        <v>16</v>
      </c>
      <c r="Y360" t="s">
        <v>501</v>
      </c>
      <c r="Z360">
        <v>91</v>
      </c>
      <c r="AA360" t="s">
        <v>498</v>
      </c>
    </row>
    <row r="361" spans="1:27" x14ac:dyDescent="0.25">
      <c r="A361" t="s">
        <v>402</v>
      </c>
      <c r="B361" s="1">
        <v>46022</v>
      </c>
      <c r="C361" s="2">
        <v>0.29722222222222222</v>
      </c>
      <c r="D361" t="s">
        <v>31</v>
      </c>
      <c r="E361" t="s">
        <v>26</v>
      </c>
      <c r="F361" t="s">
        <v>33</v>
      </c>
      <c r="G361" t="s">
        <v>360</v>
      </c>
      <c r="H361" t="s">
        <v>36</v>
      </c>
      <c r="I361" t="s">
        <v>29</v>
      </c>
      <c r="J361">
        <v>4</v>
      </c>
      <c r="K361">
        <v>0</v>
      </c>
      <c r="L361">
        <v>3</v>
      </c>
      <c r="M361">
        <v>191</v>
      </c>
      <c r="N361">
        <v>149</v>
      </c>
      <c r="O361">
        <v>562</v>
      </c>
      <c r="P361">
        <v>96106</v>
      </c>
      <c r="Q361">
        <v>1.28</v>
      </c>
      <c r="R361">
        <v>122978</v>
      </c>
      <c r="S361">
        <v>5040</v>
      </c>
      <c r="T361">
        <v>646</v>
      </c>
      <c r="U361">
        <v>1144</v>
      </c>
      <c r="V361">
        <v>144</v>
      </c>
      <c r="W361">
        <v>0</v>
      </c>
      <c r="X361">
        <v>20</v>
      </c>
      <c r="Y361" t="s">
        <v>497</v>
      </c>
      <c r="Z361">
        <v>6974</v>
      </c>
      <c r="AA361" t="s">
        <v>498</v>
      </c>
    </row>
    <row r="362" spans="1:27" x14ac:dyDescent="0.25">
      <c r="A362" t="s">
        <v>403</v>
      </c>
      <c r="B362" s="1">
        <v>46022</v>
      </c>
      <c r="C362" s="2">
        <v>0.7729166666666667</v>
      </c>
      <c r="D362" t="s">
        <v>38</v>
      </c>
      <c r="E362" t="s">
        <v>39</v>
      </c>
      <c r="F362" t="s">
        <v>33</v>
      </c>
      <c r="G362" t="s">
        <v>360</v>
      </c>
      <c r="H362" t="s">
        <v>29</v>
      </c>
      <c r="I362" t="s">
        <v>29</v>
      </c>
      <c r="J362">
        <v>2</v>
      </c>
      <c r="K362">
        <v>0</v>
      </c>
      <c r="L362">
        <v>4</v>
      </c>
      <c r="M362">
        <v>213</v>
      </c>
      <c r="N362">
        <v>170</v>
      </c>
      <c r="O362">
        <v>0</v>
      </c>
      <c r="P362">
        <v>5578</v>
      </c>
      <c r="Q362">
        <v>1.2</v>
      </c>
      <c r="R362">
        <v>6719</v>
      </c>
      <c r="S362">
        <v>122</v>
      </c>
      <c r="T362">
        <v>39</v>
      </c>
      <c r="U362">
        <v>63</v>
      </c>
      <c r="V362">
        <v>0</v>
      </c>
      <c r="W362">
        <v>0</v>
      </c>
      <c r="X362">
        <v>5</v>
      </c>
      <c r="Y362" t="s">
        <v>497</v>
      </c>
      <c r="Z362">
        <v>224</v>
      </c>
      <c r="AA362" t="s">
        <v>498</v>
      </c>
    </row>
    <row r="363" spans="1:27" x14ac:dyDescent="0.25">
      <c r="A363" t="s">
        <v>404</v>
      </c>
      <c r="B363" s="1">
        <v>46022</v>
      </c>
      <c r="C363" s="2">
        <v>0.81458333333333333</v>
      </c>
      <c r="D363" t="s">
        <v>35</v>
      </c>
      <c r="E363" t="s">
        <v>26</v>
      </c>
      <c r="F363" t="s">
        <v>27</v>
      </c>
      <c r="G363" t="s">
        <v>360</v>
      </c>
      <c r="H363" t="s">
        <v>36</v>
      </c>
      <c r="I363" t="s">
        <v>29</v>
      </c>
      <c r="J363">
        <v>3</v>
      </c>
      <c r="K363">
        <v>0</v>
      </c>
      <c r="L363">
        <v>1</v>
      </c>
      <c r="M363">
        <v>220</v>
      </c>
      <c r="N363">
        <v>123</v>
      </c>
      <c r="O363">
        <v>568</v>
      </c>
      <c r="P363">
        <v>75589</v>
      </c>
      <c r="Q363">
        <v>1.72</v>
      </c>
      <c r="R363">
        <v>129782</v>
      </c>
      <c r="S363">
        <v>2546</v>
      </c>
      <c r="T363">
        <v>359</v>
      </c>
      <c r="U363">
        <v>727</v>
      </c>
      <c r="V363">
        <v>69</v>
      </c>
      <c r="W363">
        <v>0</v>
      </c>
      <c r="X363">
        <v>17</v>
      </c>
      <c r="Y363" t="s">
        <v>497</v>
      </c>
      <c r="Z363">
        <v>3701</v>
      </c>
      <c r="AA363" t="s">
        <v>498</v>
      </c>
    </row>
    <row r="364" spans="1:27" x14ac:dyDescent="0.25">
      <c r="A364" t="s">
        <v>405</v>
      </c>
      <c r="B364" s="1">
        <v>46023</v>
      </c>
      <c r="C364" s="2">
        <v>0.625</v>
      </c>
      <c r="D364" t="s">
        <v>38</v>
      </c>
      <c r="E364" t="s">
        <v>32</v>
      </c>
      <c r="F364" t="s">
        <v>33</v>
      </c>
      <c r="G364" t="s">
        <v>406</v>
      </c>
      <c r="H364" t="s">
        <v>29</v>
      </c>
      <c r="I364" t="s">
        <v>36</v>
      </c>
      <c r="J364">
        <v>10</v>
      </c>
      <c r="K364">
        <v>0</v>
      </c>
      <c r="L364">
        <v>5</v>
      </c>
      <c r="M364">
        <v>243</v>
      </c>
      <c r="N364">
        <v>99</v>
      </c>
      <c r="O364">
        <v>0</v>
      </c>
      <c r="P364">
        <v>10438</v>
      </c>
      <c r="Q364">
        <v>1.38</v>
      </c>
      <c r="R364">
        <v>14396</v>
      </c>
      <c r="S364">
        <v>571</v>
      </c>
      <c r="T364">
        <v>118</v>
      </c>
      <c r="U364">
        <v>146</v>
      </c>
      <c r="V364">
        <v>62</v>
      </c>
      <c r="W364">
        <v>358</v>
      </c>
      <c r="X364">
        <v>16</v>
      </c>
      <c r="Y364" t="s">
        <v>497</v>
      </c>
      <c r="Z364">
        <v>1255</v>
      </c>
      <c r="AA364" t="s">
        <v>498</v>
      </c>
    </row>
    <row r="365" spans="1:27" x14ac:dyDescent="0.25">
      <c r="A365" t="s">
        <v>407</v>
      </c>
      <c r="B365" s="1">
        <v>46025</v>
      </c>
      <c r="C365" s="2">
        <v>0.86111111111111116</v>
      </c>
      <c r="D365" t="s">
        <v>35</v>
      </c>
      <c r="E365" t="s">
        <v>26</v>
      </c>
      <c r="F365" t="s">
        <v>42</v>
      </c>
      <c r="G365" t="s">
        <v>406</v>
      </c>
      <c r="H365" t="s">
        <v>36</v>
      </c>
      <c r="I365" t="s">
        <v>29</v>
      </c>
      <c r="J365">
        <v>4</v>
      </c>
      <c r="K365">
        <v>0</v>
      </c>
      <c r="L365">
        <v>1</v>
      </c>
      <c r="M365">
        <v>327</v>
      </c>
      <c r="N365">
        <v>65</v>
      </c>
      <c r="O365">
        <v>279</v>
      </c>
      <c r="P365">
        <v>50596</v>
      </c>
      <c r="Q365">
        <v>1.23</v>
      </c>
      <c r="R365">
        <v>62061</v>
      </c>
      <c r="S365">
        <v>897</v>
      </c>
      <c r="T365">
        <v>139</v>
      </c>
      <c r="U365">
        <v>221</v>
      </c>
      <c r="V365">
        <v>23</v>
      </c>
      <c r="W365">
        <v>0</v>
      </c>
      <c r="X365">
        <v>45</v>
      </c>
      <c r="Y365" t="s">
        <v>499</v>
      </c>
      <c r="Z365">
        <v>1280</v>
      </c>
      <c r="AA365" t="s">
        <v>498</v>
      </c>
    </row>
    <row r="366" spans="1:27" x14ac:dyDescent="0.25">
      <c r="A366" t="s">
        <v>408</v>
      </c>
      <c r="B366" s="1">
        <v>46026</v>
      </c>
      <c r="C366" s="2">
        <v>0.77222222222222225</v>
      </c>
      <c r="D366" t="s">
        <v>38</v>
      </c>
      <c r="E366" t="s">
        <v>26</v>
      </c>
      <c r="F366" t="s">
        <v>33</v>
      </c>
      <c r="G366" t="s">
        <v>406</v>
      </c>
      <c r="H366" t="s">
        <v>29</v>
      </c>
      <c r="I366" t="s">
        <v>36</v>
      </c>
      <c r="J366">
        <v>6</v>
      </c>
      <c r="K366">
        <v>0</v>
      </c>
      <c r="L366">
        <v>3</v>
      </c>
      <c r="M366">
        <v>247</v>
      </c>
      <c r="N366">
        <v>273</v>
      </c>
      <c r="O366">
        <v>0</v>
      </c>
      <c r="P366">
        <v>16581</v>
      </c>
      <c r="Q366">
        <v>1</v>
      </c>
      <c r="R366">
        <v>16581</v>
      </c>
      <c r="S366">
        <v>57</v>
      </c>
      <c r="T366">
        <v>7</v>
      </c>
      <c r="U366">
        <v>14</v>
      </c>
      <c r="V366">
        <v>1</v>
      </c>
      <c r="W366">
        <v>597</v>
      </c>
      <c r="X366">
        <v>41</v>
      </c>
      <c r="Y366" t="s">
        <v>497</v>
      </c>
      <c r="Z366">
        <v>676</v>
      </c>
      <c r="AA366" t="s">
        <v>498</v>
      </c>
    </row>
    <row r="367" spans="1:27" x14ac:dyDescent="0.25">
      <c r="A367" t="s">
        <v>409</v>
      </c>
      <c r="B367" s="1">
        <v>46028</v>
      </c>
      <c r="C367" s="2">
        <v>0.67361111111111116</v>
      </c>
      <c r="D367" t="s">
        <v>38</v>
      </c>
      <c r="E367" t="s">
        <v>26</v>
      </c>
      <c r="F367" t="s">
        <v>45</v>
      </c>
      <c r="G367" t="s">
        <v>406</v>
      </c>
      <c r="H367" t="s">
        <v>29</v>
      </c>
      <c r="I367" t="s">
        <v>29</v>
      </c>
      <c r="J367">
        <v>4</v>
      </c>
      <c r="K367">
        <v>58</v>
      </c>
      <c r="L367">
        <v>1</v>
      </c>
      <c r="M367">
        <v>133</v>
      </c>
      <c r="N367">
        <v>106</v>
      </c>
      <c r="O367">
        <v>0</v>
      </c>
      <c r="P367">
        <v>67484</v>
      </c>
      <c r="Q367">
        <v>1</v>
      </c>
      <c r="R367">
        <v>67484</v>
      </c>
      <c r="S367">
        <v>3466</v>
      </c>
      <c r="T367">
        <v>474</v>
      </c>
      <c r="U367">
        <v>1058</v>
      </c>
      <c r="V367">
        <v>115</v>
      </c>
      <c r="W367">
        <v>0</v>
      </c>
      <c r="X367">
        <v>46</v>
      </c>
      <c r="Y367" t="s">
        <v>497</v>
      </c>
      <c r="Z367">
        <v>5113</v>
      </c>
      <c r="AA367" t="s">
        <v>498</v>
      </c>
    </row>
    <row r="368" spans="1:27" x14ac:dyDescent="0.25">
      <c r="A368" t="s">
        <v>410</v>
      </c>
      <c r="B368" s="1">
        <v>46028</v>
      </c>
      <c r="C368" s="2">
        <v>0.76666666666666672</v>
      </c>
      <c r="D368" t="s">
        <v>38</v>
      </c>
      <c r="E368" t="s">
        <v>32</v>
      </c>
      <c r="F368" t="s">
        <v>27</v>
      </c>
      <c r="G368" t="s">
        <v>406</v>
      </c>
      <c r="H368" t="s">
        <v>29</v>
      </c>
      <c r="I368" t="s">
        <v>36</v>
      </c>
      <c r="J368">
        <v>6</v>
      </c>
      <c r="K368">
        <v>0</v>
      </c>
      <c r="L368">
        <v>1</v>
      </c>
      <c r="M368">
        <v>164</v>
      </c>
      <c r="N368">
        <v>211</v>
      </c>
      <c r="O368">
        <v>0</v>
      </c>
      <c r="P368">
        <v>13691</v>
      </c>
      <c r="Q368">
        <v>1.54</v>
      </c>
      <c r="R368">
        <v>21062</v>
      </c>
      <c r="S368">
        <v>697</v>
      </c>
      <c r="T368">
        <v>144</v>
      </c>
      <c r="U368">
        <v>155</v>
      </c>
      <c r="V368">
        <v>100</v>
      </c>
      <c r="W368">
        <v>447</v>
      </c>
      <c r="X368">
        <v>14</v>
      </c>
      <c r="Y368" t="s">
        <v>497</v>
      </c>
      <c r="Z368">
        <v>1543</v>
      </c>
      <c r="AA368" t="s">
        <v>498</v>
      </c>
    </row>
    <row r="369" spans="1:27" x14ac:dyDescent="0.25">
      <c r="A369" t="s">
        <v>411</v>
      </c>
      <c r="B369" s="1">
        <v>46030</v>
      </c>
      <c r="C369" s="2">
        <v>0.52152777777777781</v>
      </c>
      <c r="D369" t="s">
        <v>25</v>
      </c>
      <c r="E369" t="s">
        <v>26</v>
      </c>
      <c r="F369" t="s">
        <v>45</v>
      </c>
      <c r="G369" t="s">
        <v>406</v>
      </c>
      <c r="H369" t="s">
        <v>29</v>
      </c>
      <c r="I369" t="s">
        <v>36</v>
      </c>
      <c r="J369">
        <v>6</v>
      </c>
      <c r="K369">
        <v>32</v>
      </c>
      <c r="L369">
        <v>1</v>
      </c>
      <c r="M369">
        <v>165</v>
      </c>
      <c r="N369">
        <v>185</v>
      </c>
      <c r="O369">
        <v>0</v>
      </c>
      <c r="P369">
        <v>26446</v>
      </c>
      <c r="Q369">
        <v>1.1599999999999999</v>
      </c>
      <c r="R369">
        <v>30702</v>
      </c>
      <c r="S369">
        <v>2590</v>
      </c>
      <c r="T369">
        <v>390</v>
      </c>
      <c r="U369">
        <v>684</v>
      </c>
      <c r="V369">
        <v>77</v>
      </c>
      <c r="W369">
        <v>793</v>
      </c>
      <c r="X369">
        <v>30</v>
      </c>
      <c r="Y369" t="s">
        <v>497</v>
      </c>
      <c r="Z369">
        <v>4534</v>
      </c>
      <c r="AA369" t="s">
        <v>498</v>
      </c>
    </row>
    <row r="370" spans="1:27" x14ac:dyDescent="0.25">
      <c r="A370" t="s">
        <v>412</v>
      </c>
      <c r="B370" s="1">
        <v>46031</v>
      </c>
      <c r="C370" s="2">
        <v>0.78125</v>
      </c>
      <c r="D370" t="s">
        <v>38</v>
      </c>
      <c r="E370" t="s">
        <v>32</v>
      </c>
      <c r="F370" t="s">
        <v>45</v>
      </c>
      <c r="G370" t="s">
        <v>406</v>
      </c>
      <c r="H370" t="s">
        <v>36</v>
      </c>
      <c r="I370" t="s">
        <v>29</v>
      </c>
      <c r="J370">
        <v>12</v>
      </c>
      <c r="K370">
        <v>17</v>
      </c>
      <c r="L370">
        <v>1</v>
      </c>
      <c r="M370">
        <v>177</v>
      </c>
      <c r="N370">
        <v>191</v>
      </c>
      <c r="O370">
        <v>216</v>
      </c>
      <c r="P370">
        <v>17397</v>
      </c>
      <c r="Q370">
        <v>1.49</v>
      </c>
      <c r="R370">
        <v>25973</v>
      </c>
      <c r="S370">
        <v>552</v>
      </c>
      <c r="T370">
        <v>104</v>
      </c>
      <c r="U370">
        <v>132</v>
      </c>
      <c r="V370">
        <v>62</v>
      </c>
      <c r="W370">
        <v>0</v>
      </c>
      <c r="X370">
        <v>13</v>
      </c>
      <c r="Y370" t="s">
        <v>497</v>
      </c>
      <c r="Z370">
        <v>850</v>
      </c>
      <c r="AA370" t="s">
        <v>498</v>
      </c>
    </row>
    <row r="371" spans="1:27" x14ac:dyDescent="0.25">
      <c r="A371" t="s">
        <v>413</v>
      </c>
      <c r="B371" s="1">
        <v>46031</v>
      </c>
      <c r="C371" s="2">
        <v>0.94236111111111109</v>
      </c>
      <c r="D371" t="s">
        <v>35</v>
      </c>
      <c r="E371" t="s">
        <v>26</v>
      </c>
      <c r="F371" t="s">
        <v>45</v>
      </c>
      <c r="G371" t="s">
        <v>406</v>
      </c>
      <c r="H371" t="s">
        <v>36</v>
      </c>
      <c r="I371" t="s">
        <v>36</v>
      </c>
      <c r="J371">
        <v>8</v>
      </c>
      <c r="K371">
        <v>19</v>
      </c>
      <c r="L371">
        <v>1</v>
      </c>
      <c r="M371">
        <v>197</v>
      </c>
      <c r="N371">
        <v>134</v>
      </c>
      <c r="O371">
        <v>250</v>
      </c>
      <c r="P371">
        <v>68014</v>
      </c>
      <c r="Q371">
        <v>1.68</v>
      </c>
      <c r="R371">
        <v>114039</v>
      </c>
      <c r="S371">
        <v>6652</v>
      </c>
      <c r="T371">
        <v>1082</v>
      </c>
      <c r="U371">
        <v>1847</v>
      </c>
      <c r="V371">
        <v>234</v>
      </c>
      <c r="W371">
        <v>2531</v>
      </c>
      <c r="X371">
        <v>70</v>
      </c>
      <c r="Y371" t="s">
        <v>497</v>
      </c>
      <c r="Z371">
        <v>12346</v>
      </c>
      <c r="AA371" t="s">
        <v>500</v>
      </c>
    </row>
    <row r="372" spans="1:27" x14ac:dyDescent="0.25">
      <c r="A372" t="s">
        <v>414</v>
      </c>
      <c r="B372" s="1">
        <v>46032</v>
      </c>
      <c r="C372" s="2">
        <v>0.78541666666666665</v>
      </c>
      <c r="D372" t="s">
        <v>38</v>
      </c>
      <c r="E372" t="s">
        <v>26</v>
      </c>
      <c r="F372" t="s">
        <v>45</v>
      </c>
      <c r="G372" t="s">
        <v>406</v>
      </c>
      <c r="H372" t="s">
        <v>36</v>
      </c>
      <c r="I372" t="s">
        <v>36</v>
      </c>
      <c r="J372">
        <v>3</v>
      </c>
      <c r="K372">
        <v>59</v>
      </c>
      <c r="L372">
        <v>1</v>
      </c>
      <c r="M372">
        <v>98</v>
      </c>
      <c r="N372">
        <v>106</v>
      </c>
      <c r="O372">
        <v>288</v>
      </c>
      <c r="P372">
        <v>18472</v>
      </c>
      <c r="Q372">
        <v>1.59</v>
      </c>
      <c r="R372">
        <v>29327</v>
      </c>
      <c r="S372">
        <v>2083</v>
      </c>
      <c r="T372">
        <v>315</v>
      </c>
      <c r="U372">
        <v>474</v>
      </c>
      <c r="V372">
        <v>54</v>
      </c>
      <c r="W372">
        <v>717</v>
      </c>
      <c r="X372">
        <v>10</v>
      </c>
      <c r="Y372" t="s">
        <v>501</v>
      </c>
      <c r="Z372">
        <v>3643</v>
      </c>
      <c r="AA372" t="s">
        <v>498</v>
      </c>
    </row>
    <row r="373" spans="1:27" x14ac:dyDescent="0.25">
      <c r="A373" t="s">
        <v>415</v>
      </c>
      <c r="B373" s="1">
        <v>46032</v>
      </c>
      <c r="C373" s="2">
        <v>0.90972222222222221</v>
      </c>
      <c r="D373" t="s">
        <v>35</v>
      </c>
      <c r="E373" t="s">
        <v>32</v>
      </c>
      <c r="F373" t="s">
        <v>45</v>
      </c>
      <c r="G373" t="s">
        <v>406</v>
      </c>
      <c r="H373" t="s">
        <v>29</v>
      </c>
      <c r="I373" t="s">
        <v>36</v>
      </c>
      <c r="J373">
        <v>7</v>
      </c>
      <c r="K373">
        <v>80</v>
      </c>
      <c r="L373">
        <v>1</v>
      </c>
      <c r="M373">
        <v>199</v>
      </c>
      <c r="N373">
        <v>265</v>
      </c>
      <c r="O373">
        <v>0</v>
      </c>
      <c r="P373">
        <v>7629</v>
      </c>
      <c r="Q373">
        <v>1.32</v>
      </c>
      <c r="R373">
        <v>10087</v>
      </c>
      <c r="S373">
        <v>320</v>
      </c>
      <c r="T373">
        <v>62</v>
      </c>
      <c r="U373">
        <v>64</v>
      </c>
      <c r="V373">
        <v>39</v>
      </c>
      <c r="W373">
        <v>290</v>
      </c>
      <c r="X373">
        <v>0</v>
      </c>
      <c r="Y373" t="s">
        <v>497</v>
      </c>
      <c r="Z373">
        <v>775</v>
      </c>
      <c r="AA373" t="s">
        <v>498</v>
      </c>
    </row>
    <row r="374" spans="1:27" x14ac:dyDescent="0.25">
      <c r="A374" t="s">
        <v>416</v>
      </c>
      <c r="B374" s="1">
        <v>46033</v>
      </c>
      <c r="C374" s="2">
        <v>0.79652777777777772</v>
      </c>
      <c r="D374" t="s">
        <v>35</v>
      </c>
      <c r="E374" t="s">
        <v>39</v>
      </c>
      <c r="F374" t="s">
        <v>27</v>
      </c>
      <c r="G374" t="s">
        <v>406</v>
      </c>
      <c r="H374" t="s">
        <v>29</v>
      </c>
      <c r="I374" t="s">
        <v>29</v>
      </c>
      <c r="J374">
        <v>2</v>
      </c>
      <c r="K374">
        <v>0</v>
      </c>
      <c r="L374">
        <v>1</v>
      </c>
      <c r="M374">
        <v>90</v>
      </c>
      <c r="N374">
        <v>142</v>
      </c>
      <c r="O374">
        <v>0</v>
      </c>
      <c r="P374">
        <v>5041</v>
      </c>
      <c r="Q374">
        <v>1.05</v>
      </c>
      <c r="R374">
        <v>5282</v>
      </c>
      <c r="S374">
        <v>54</v>
      </c>
      <c r="T374">
        <v>19</v>
      </c>
      <c r="U374">
        <v>28</v>
      </c>
      <c r="V374">
        <v>0</v>
      </c>
      <c r="W374">
        <v>0</v>
      </c>
      <c r="X374">
        <v>6</v>
      </c>
      <c r="Y374" t="s">
        <v>501</v>
      </c>
      <c r="Z374">
        <v>101</v>
      </c>
      <c r="AA374" t="s">
        <v>498</v>
      </c>
    </row>
    <row r="375" spans="1:27" x14ac:dyDescent="0.25">
      <c r="A375" t="s">
        <v>417</v>
      </c>
      <c r="B375" s="1">
        <v>46034</v>
      </c>
      <c r="C375" s="2">
        <v>0.5</v>
      </c>
      <c r="D375" t="s">
        <v>25</v>
      </c>
      <c r="E375" t="s">
        <v>32</v>
      </c>
      <c r="F375" t="s">
        <v>42</v>
      </c>
      <c r="G375" t="s">
        <v>406</v>
      </c>
      <c r="H375" t="s">
        <v>36</v>
      </c>
      <c r="I375" t="s">
        <v>36</v>
      </c>
      <c r="J375">
        <v>15</v>
      </c>
      <c r="K375">
        <v>0</v>
      </c>
      <c r="L375">
        <v>1</v>
      </c>
      <c r="M375">
        <v>344</v>
      </c>
      <c r="N375">
        <v>85</v>
      </c>
      <c r="O375">
        <v>225</v>
      </c>
      <c r="P375">
        <v>13830</v>
      </c>
      <c r="Q375">
        <v>1.62</v>
      </c>
      <c r="R375">
        <v>22414</v>
      </c>
      <c r="S375">
        <v>358</v>
      </c>
      <c r="T375">
        <v>71</v>
      </c>
      <c r="U375">
        <v>77</v>
      </c>
      <c r="V375">
        <v>41</v>
      </c>
      <c r="W375">
        <v>376</v>
      </c>
      <c r="X375">
        <v>19</v>
      </c>
      <c r="Y375" t="s">
        <v>499</v>
      </c>
      <c r="Z375">
        <v>923</v>
      </c>
      <c r="AA375" t="s">
        <v>498</v>
      </c>
    </row>
    <row r="376" spans="1:27" x14ac:dyDescent="0.25">
      <c r="A376" t="s">
        <v>418</v>
      </c>
      <c r="B376" s="1">
        <v>46034</v>
      </c>
      <c r="C376" s="2">
        <v>0.60486111111111107</v>
      </c>
      <c r="D376" t="s">
        <v>25</v>
      </c>
      <c r="E376" t="s">
        <v>39</v>
      </c>
      <c r="F376" t="s">
        <v>27</v>
      </c>
      <c r="G376" t="s">
        <v>406</v>
      </c>
      <c r="H376" t="s">
        <v>36</v>
      </c>
      <c r="I376" t="s">
        <v>29</v>
      </c>
      <c r="J376">
        <v>3</v>
      </c>
      <c r="K376">
        <v>0</v>
      </c>
      <c r="L376">
        <v>1</v>
      </c>
      <c r="M376">
        <v>190</v>
      </c>
      <c r="N376">
        <v>73</v>
      </c>
      <c r="O376">
        <v>259</v>
      </c>
      <c r="P376">
        <v>14120</v>
      </c>
      <c r="Q376">
        <v>1.77</v>
      </c>
      <c r="R376">
        <v>24932</v>
      </c>
      <c r="S376">
        <v>328</v>
      </c>
      <c r="T376">
        <v>127</v>
      </c>
      <c r="U376">
        <v>169</v>
      </c>
      <c r="V376">
        <v>0</v>
      </c>
      <c r="W376">
        <v>0</v>
      </c>
      <c r="X376">
        <v>0</v>
      </c>
      <c r="Y376" t="s">
        <v>497</v>
      </c>
      <c r="Z376">
        <v>624</v>
      </c>
      <c r="AA376" t="s">
        <v>498</v>
      </c>
    </row>
    <row r="377" spans="1:27" x14ac:dyDescent="0.25">
      <c r="A377" t="s">
        <v>419</v>
      </c>
      <c r="B377" s="1">
        <v>46034</v>
      </c>
      <c r="C377" s="2">
        <v>0.74305555555555558</v>
      </c>
      <c r="D377" t="s">
        <v>38</v>
      </c>
      <c r="E377" t="s">
        <v>26</v>
      </c>
      <c r="F377" t="s">
        <v>45</v>
      </c>
      <c r="G377" t="s">
        <v>406</v>
      </c>
      <c r="H377" t="s">
        <v>29</v>
      </c>
      <c r="I377" t="s">
        <v>36</v>
      </c>
      <c r="J377">
        <v>4</v>
      </c>
      <c r="K377">
        <v>59</v>
      </c>
      <c r="L377">
        <v>1</v>
      </c>
      <c r="M377">
        <v>181</v>
      </c>
      <c r="N377">
        <v>129</v>
      </c>
      <c r="O377">
        <v>0</v>
      </c>
      <c r="P377">
        <v>31735</v>
      </c>
      <c r="Q377">
        <v>1.1000000000000001</v>
      </c>
      <c r="R377">
        <v>34910</v>
      </c>
      <c r="S377">
        <v>3039</v>
      </c>
      <c r="T377">
        <v>434</v>
      </c>
      <c r="U377">
        <v>872</v>
      </c>
      <c r="V377">
        <v>77</v>
      </c>
      <c r="W377">
        <v>666</v>
      </c>
      <c r="X377">
        <v>35</v>
      </c>
      <c r="Y377" t="s">
        <v>497</v>
      </c>
      <c r="Z377">
        <v>5088</v>
      </c>
      <c r="AA377" t="s">
        <v>498</v>
      </c>
    </row>
    <row r="378" spans="1:27" x14ac:dyDescent="0.25">
      <c r="A378" t="s">
        <v>420</v>
      </c>
      <c r="B378" s="1">
        <v>46035</v>
      </c>
      <c r="C378" s="2">
        <v>0.4826388888888889</v>
      </c>
      <c r="D378" t="s">
        <v>25</v>
      </c>
      <c r="E378" t="s">
        <v>39</v>
      </c>
      <c r="F378" t="s">
        <v>45</v>
      </c>
      <c r="G378" t="s">
        <v>406</v>
      </c>
      <c r="H378" t="s">
        <v>29</v>
      </c>
      <c r="I378" t="s">
        <v>36</v>
      </c>
      <c r="J378">
        <v>1</v>
      </c>
      <c r="K378">
        <v>152</v>
      </c>
      <c r="L378">
        <v>1</v>
      </c>
      <c r="M378">
        <v>198</v>
      </c>
      <c r="N378">
        <v>198</v>
      </c>
      <c r="O378">
        <v>0</v>
      </c>
      <c r="P378">
        <v>7150</v>
      </c>
      <c r="Q378">
        <v>1</v>
      </c>
      <c r="R378">
        <v>7150</v>
      </c>
      <c r="S378">
        <v>107</v>
      </c>
      <c r="T378">
        <v>45</v>
      </c>
      <c r="U378">
        <v>50</v>
      </c>
      <c r="V378">
        <v>0</v>
      </c>
      <c r="W378">
        <v>170</v>
      </c>
      <c r="X378">
        <v>10</v>
      </c>
      <c r="Y378" t="s">
        <v>497</v>
      </c>
      <c r="Z378">
        <v>372</v>
      </c>
      <c r="AA378" t="s">
        <v>498</v>
      </c>
    </row>
    <row r="379" spans="1:27" x14ac:dyDescent="0.25">
      <c r="A379" t="s">
        <v>421</v>
      </c>
      <c r="B379" s="1">
        <v>46035</v>
      </c>
      <c r="C379" s="2">
        <v>0.53680555555555554</v>
      </c>
      <c r="D379" t="s">
        <v>25</v>
      </c>
      <c r="E379" t="s">
        <v>39</v>
      </c>
      <c r="F379" t="s">
        <v>33</v>
      </c>
      <c r="G379" t="s">
        <v>406</v>
      </c>
      <c r="H379" t="s">
        <v>29</v>
      </c>
      <c r="I379" t="s">
        <v>29</v>
      </c>
      <c r="J379">
        <v>1</v>
      </c>
      <c r="K379">
        <v>0</v>
      </c>
      <c r="L379">
        <v>9</v>
      </c>
      <c r="M379">
        <v>193</v>
      </c>
      <c r="N379">
        <v>171</v>
      </c>
      <c r="O379">
        <v>0</v>
      </c>
      <c r="P379">
        <v>3048</v>
      </c>
      <c r="Q379">
        <v>1.36</v>
      </c>
      <c r="R379">
        <v>4132</v>
      </c>
      <c r="S379">
        <v>11</v>
      </c>
      <c r="T379">
        <v>4</v>
      </c>
      <c r="U379">
        <v>4</v>
      </c>
      <c r="V379">
        <v>0</v>
      </c>
      <c r="W379">
        <v>0</v>
      </c>
      <c r="X379">
        <v>5</v>
      </c>
      <c r="Y379" t="s">
        <v>497</v>
      </c>
      <c r="Z379">
        <v>19</v>
      </c>
      <c r="AA379" t="s">
        <v>498</v>
      </c>
    </row>
    <row r="380" spans="1:27" x14ac:dyDescent="0.25">
      <c r="A380" t="s">
        <v>422</v>
      </c>
      <c r="B380" s="1">
        <v>46036</v>
      </c>
      <c r="C380" s="2">
        <v>0.2951388888888889</v>
      </c>
      <c r="D380" t="s">
        <v>31</v>
      </c>
      <c r="E380" t="s">
        <v>32</v>
      </c>
      <c r="F380" t="s">
        <v>27</v>
      </c>
      <c r="G380" t="s">
        <v>406</v>
      </c>
      <c r="H380" t="s">
        <v>36</v>
      </c>
      <c r="I380" t="s">
        <v>36</v>
      </c>
      <c r="J380">
        <v>14</v>
      </c>
      <c r="K380">
        <v>0</v>
      </c>
      <c r="L380">
        <v>1</v>
      </c>
      <c r="M380">
        <v>140</v>
      </c>
      <c r="N380">
        <v>198</v>
      </c>
      <c r="O380">
        <v>210</v>
      </c>
      <c r="P380">
        <v>15721</v>
      </c>
      <c r="Q380">
        <v>1.55</v>
      </c>
      <c r="R380">
        <v>24442</v>
      </c>
      <c r="S380">
        <v>1132</v>
      </c>
      <c r="T380">
        <v>201</v>
      </c>
      <c r="U380">
        <v>260</v>
      </c>
      <c r="V380">
        <v>110</v>
      </c>
      <c r="W380">
        <v>404</v>
      </c>
      <c r="X380">
        <v>12</v>
      </c>
      <c r="Y380" t="s">
        <v>497</v>
      </c>
      <c r="Z380">
        <v>2107</v>
      </c>
      <c r="AA380" t="s">
        <v>498</v>
      </c>
    </row>
    <row r="381" spans="1:27" x14ac:dyDescent="0.25">
      <c r="A381" t="s">
        <v>423</v>
      </c>
      <c r="B381" s="1">
        <v>46037</v>
      </c>
      <c r="C381" s="2">
        <v>0.5541666666666667</v>
      </c>
      <c r="D381" t="s">
        <v>25</v>
      </c>
      <c r="E381" t="s">
        <v>39</v>
      </c>
      <c r="F381" t="s">
        <v>33</v>
      </c>
      <c r="G381" t="s">
        <v>406</v>
      </c>
      <c r="H381" t="s">
        <v>36</v>
      </c>
      <c r="I381" t="s">
        <v>36</v>
      </c>
      <c r="J381">
        <v>1</v>
      </c>
      <c r="K381">
        <v>0</v>
      </c>
      <c r="L381">
        <v>5</v>
      </c>
      <c r="M381">
        <v>134</v>
      </c>
      <c r="N381">
        <v>151</v>
      </c>
      <c r="O381">
        <v>296</v>
      </c>
      <c r="P381">
        <v>17410</v>
      </c>
      <c r="Q381">
        <v>1.43</v>
      </c>
      <c r="R381">
        <v>24909</v>
      </c>
      <c r="S381">
        <v>262</v>
      </c>
      <c r="T381">
        <v>90</v>
      </c>
      <c r="U381">
        <v>107</v>
      </c>
      <c r="V381">
        <v>0</v>
      </c>
      <c r="W381">
        <v>894</v>
      </c>
      <c r="X381">
        <v>0</v>
      </c>
      <c r="Y381" t="s">
        <v>497</v>
      </c>
      <c r="Z381">
        <v>1353</v>
      </c>
      <c r="AA381" t="s">
        <v>498</v>
      </c>
    </row>
    <row r="382" spans="1:27" x14ac:dyDescent="0.25">
      <c r="A382" t="s">
        <v>424</v>
      </c>
      <c r="B382" s="1">
        <v>46038</v>
      </c>
      <c r="C382" s="2">
        <v>0.26319444444444445</v>
      </c>
      <c r="D382" t="s">
        <v>31</v>
      </c>
      <c r="E382" t="s">
        <v>39</v>
      </c>
      <c r="F382" t="s">
        <v>45</v>
      </c>
      <c r="G382" t="s">
        <v>406</v>
      </c>
      <c r="H382" t="s">
        <v>29</v>
      </c>
      <c r="I382" t="s">
        <v>36</v>
      </c>
      <c r="J382">
        <v>3</v>
      </c>
      <c r="K382">
        <v>113</v>
      </c>
      <c r="L382">
        <v>1</v>
      </c>
      <c r="M382">
        <v>156</v>
      </c>
      <c r="N382">
        <v>158</v>
      </c>
      <c r="O382">
        <v>0</v>
      </c>
      <c r="P382">
        <v>5222</v>
      </c>
      <c r="Q382">
        <v>1.1100000000000001</v>
      </c>
      <c r="R382">
        <v>5780</v>
      </c>
      <c r="S382">
        <v>40</v>
      </c>
      <c r="T382">
        <v>13</v>
      </c>
      <c r="U382">
        <v>17</v>
      </c>
      <c r="V382">
        <v>0</v>
      </c>
      <c r="W382">
        <v>124</v>
      </c>
      <c r="X382">
        <v>7</v>
      </c>
      <c r="Y382" t="s">
        <v>497</v>
      </c>
      <c r="Z382">
        <v>194</v>
      </c>
      <c r="AA382" t="s">
        <v>498</v>
      </c>
    </row>
    <row r="383" spans="1:27" x14ac:dyDescent="0.25">
      <c r="A383" t="s">
        <v>425</v>
      </c>
      <c r="B383" s="1">
        <v>46038</v>
      </c>
      <c r="C383" s="2">
        <v>0.35625000000000001</v>
      </c>
      <c r="D383" t="s">
        <v>31</v>
      </c>
      <c r="E383" t="s">
        <v>32</v>
      </c>
      <c r="F383" t="s">
        <v>27</v>
      </c>
      <c r="G383" t="s">
        <v>406</v>
      </c>
      <c r="H383" t="s">
        <v>36</v>
      </c>
      <c r="I383" t="s">
        <v>29</v>
      </c>
      <c r="J383">
        <v>13</v>
      </c>
      <c r="K383">
        <v>0</v>
      </c>
      <c r="L383">
        <v>1</v>
      </c>
      <c r="M383">
        <v>227</v>
      </c>
      <c r="N383">
        <v>133</v>
      </c>
      <c r="O383">
        <v>302</v>
      </c>
      <c r="P383">
        <v>11437</v>
      </c>
      <c r="Q383">
        <v>1.74</v>
      </c>
      <c r="R383">
        <v>19845</v>
      </c>
      <c r="S383">
        <v>192</v>
      </c>
      <c r="T383">
        <v>44</v>
      </c>
      <c r="U383">
        <v>51</v>
      </c>
      <c r="V383">
        <v>29</v>
      </c>
      <c r="W383">
        <v>0</v>
      </c>
      <c r="X383">
        <v>14</v>
      </c>
      <c r="Y383" t="s">
        <v>497</v>
      </c>
      <c r="Z383">
        <v>316</v>
      </c>
      <c r="AA383" t="s">
        <v>498</v>
      </c>
    </row>
    <row r="384" spans="1:27" x14ac:dyDescent="0.25">
      <c r="A384" t="s">
        <v>426</v>
      </c>
      <c r="B384" s="1">
        <v>46038</v>
      </c>
      <c r="C384" s="2">
        <v>0.72916666666666663</v>
      </c>
      <c r="D384" t="s">
        <v>38</v>
      </c>
      <c r="E384" t="s">
        <v>32</v>
      </c>
      <c r="F384" t="s">
        <v>33</v>
      </c>
      <c r="G384" t="s">
        <v>406</v>
      </c>
      <c r="H384" t="s">
        <v>29</v>
      </c>
      <c r="I384" t="s">
        <v>29</v>
      </c>
      <c r="J384">
        <v>5</v>
      </c>
      <c r="K384">
        <v>0</v>
      </c>
      <c r="L384">
        <v>5</v>
      </c>
      <c r="M384">
        <v>212</v>
      </c>
      <c r="N384">
        <v>238</v>
      </c>
      <c r="O384">
        <v>0</v>
      </c>
      <c r="P384">
        <v>10307</v>
      </c>
      <c r="Q384">
        <v>1</v>
      </c>
      <c r="R384">
        <v>10307</v>
      </c>
      <c r="S384">
        <v>222</v>
      </c>
      <c r="T384">
        <v>37</v>
      </c>
      <c r="U384">
        <v>53</v>
      </c>
      <c r="V384">
        <v>28</v>
      </c>
      <c r="W384">
        <v>0</v>
      </c>
      <c r="X384">
        <v>6</v>
      </c>
      <c r="Y384" t="s">
        <v>497</v>
      </c>
      <c r="Z384">
        <v>340</v>
      </c>
      <c r="AA384" t="s">
        <v>498</v>
      </c>
    </row>
    <row r="385" spans="1:27" x14ac:dyDescent="0.25">
      <c r="A385" t="s">
        <v>427</v>
      </c>
      <c r="B385" s="1">
        <v>46038</v>
      </c>
      <c r="C385" s="2">
        <v>0.73333333333333328</v>
      </c>
      <c r="D385" t="s">
        <v>38</v>
      </c>
      <c r="E385" t="s">
        <v>32</v>
      </c>
      <c r="F385" t="s">
        <v>45</v>
      </c>
      <c r="G385" t="s">
        <v>406</v>
      </c>
      <c r="H385" t="s">
        <v>29</v>
      </c>
      <c r="I385" t="s">
        <v>29</v>
      </c>
      <c r="J385">
        <v>6</v>
      </c>
      <c r="K385">
        <v>44</v>
      </c>
      <c r="L385">
        <v>1</v>
      </c>
      <c r="M385">
        <v>75</v>
      </c>
      <c r="N385">
        <v>273</v>
      </c>
      <c r="O385">
        <v>0</v>
      </c>
      <c r="P385">
        <v>7823</v>
      </c>
      <c r="Q385">
        <v>1.23</v>
      </c>
      <c r="R385">
        <v>9633</v>
      </c>
      <c r="S385">
        <v>261</v>
      </c>
      <c r="T385">
        <v>47</v>
      </c>
      <c r="U385">
        <v>56</v>
      </c>
      <c r="V385">
        <v>30</v>
      </c>
      <c r="W385">
        <v>0</v>
      </c>
      <c r="X385">
        <v>8</v>
      </c>
      <c r="Y385" t="s">
        <v>501</v>
      </c>
      <c r="Z385">
        <v>394</v>
      </c>
      <c r="AA385" t="s">
        <v>498</v>
      </c>
    </row>
    <row r="386" spans="1:27" x14ac:dyDescent="0.25">
      <c r="A386" t="s">
        <v>428</v>
      </c>
      <c r="B386" s="1">
        <v>46040</v>
      </c>
      <c r="C386" s="2">
        <v>0.8930555555555556</v>
      </c>
      <c r="D386" t="s">
        <v>35</v>
      </c>
      <c r="E386" t="s">
        <v>26</v>
      </c>
      <c r="F386" t="s">
        <v>27</v>
      </c>
      <c r="G386" t="s">
        <v>406</v>
      </c>
      <c r="H386" t="s">
        <v>29</v>
      </c>
      <c r="I386" t="s">
        <v>36</v>
      </c>
      <c r="J386">
        <v>8</v>
      </c>
      <c r="K386">
        <v>0</v>
      </c>
      <c r="L386">
        <v>1</v>
      </c>
      <c r="M386">
        <v>160</v>
      </c>
      <c r="N386">
        <v>120</v>
      </c>
      <c r="O386">
        <v>0</v>
      </c>
      <c r="P386">
        <v>20747</v>
      </c>
      <c r="Q386">
        <v>1.34</v>
      </c>
      <c r="R386">
        <v>27711</v>
      </c>
      <c r="S386">
        <v>432</v>
      </c>
      <c r="T386">
        <v>69</v>
      </c>
      <c r="U386">
        <v>117</v>
      </c>
      <c r="V386">
        <v>12</v>
      </c>
      <c r="W386">
        <v>456</v>
      </c>
      <c r="X386">
        <v>6</v>
      </c>
      <c r="Y386" t="s">
        <v>497</v>
      </c>
      <c r="Z386">
        <v>1086</v>
      </c>
      <c r="AA386" t="s">
        <v>498</v>
      </c>
    </row>
    <row r="387" spans="1:27" x14ac:dyDescent="0.25">
      <c r="A387" t="s">
        <v>429</v>
      </c>
      <c r="B387" s="1">
        <v>46041</v>
      </c>
      <c r="C387" s="2">
        <v>0.42499999999999999</v>
      </c>
      <c r="D387" t="s">
        <v>31</v>
      </c>
      <c r="E387" t="s">
        <v>48</v>
      </c>
      <c r="F387" t="s">
        <v>27</v>
      </c>
      <c r="G387" t="s">
        <v>406</v>
      </c>
      <c r="H387" t="s">
        <v>29</v>
      </c>
      <c r="I387" t="s">
        <v>29</v>
      </c>
      <c r="J387">
        <v>3</v>
      </c>
      <c r="K387">
        <v>0</v>
      </c>
      <c r="L387">
        <v>1</v>
      </c>
      <c r="M387">
        <v>140</v>
      </c>
      <c r="N387">
        <v>68</v>
      </c>
      <c r="O387">
        <v>0</v>
      </c>
      <c r="P387">
        <v>6977</v>
      </c>
      <c r="Q387">
        <v>1</v>
      </c>
      <c r="R387">
        <v>6977</v>
      </c>
      <c r="S387">
        <v>73</v>
      </c>
      <c r="T387">
        <v>19</v>
      </c>
      <c r="U387">
        <v>25</v>
      </c>
      <c r="V387">
        <v>5</v>
      </c>
      <c r="W387">
        <v>0</v>
      </c>
      <c r="X387">
        <v>0</v>
      </c>
      <c r="Y387" t="s">
        <v>497</v>
      </c>
      <c r="Z387">
        <v>122</v>
      </c>
      <c r="AA387" t="s">
        <v>498</v>
      </c>
    </row>
    <row r="388" spans="1:27" x14ac:dyDescent="0.25">
      <c r="A388" t="s">
        <v>430</v>
      </c>
      <c r="B388" s="1">
        <v>46041</v>
      </c>
      <c r="C388" s="2">
        <v>0.77083333333333337</v>
      </c>
      <c r="D388" t="s">
        <v>38</v>
      </c>
      <c r="E388" t="s">
        <v>26</v>
      </c>
      <c r="F388" t="s">
        <v>45</v>
      </c>
      <c r="G388" t="s">
        <v>406</v>
      </c>
      <c r="H388" t="s">
        <v>36</v>
      </c>
      <c r="I388" t="s">
        <v>36</v>
      </c>
      <c r="J388">
        <v>3</v>
      </c>
      <c r="K388">
        <v>35</v>
      </c>
      <c r="L388">
        <v>1</v>
      </c>
      <c r="M388">
        <v>185</v>
      </c>
      <c r="N388">
        <v>145</v>
      </c>
      <c r="O388">
        <v>326</v>
      </c>
      <c r="P388">
        <v>2610</v>
      </c>
      <c r="Q388">
        <v>1.42</v>
      </c>
      <c r="R388">
        <v>3706</v>
      </c>
      <c r="S388">
        <v>388</v>
      </c>
      <c r="T388">
        <v>48</v>
      </c>
      <c r="U388">
        <v>81</v>
      </c>
      <c r="V388">
        <v>10</v>
      </c>
      <c r="W388">
        <v>81</v>
      </c>
      <c r="X388">
        <v>20</v>
      </c>
      <c r="Y388" t="s">
        <v>497</v>
      </c>
      <c r="Z388">
        <v>608</v>
      </c>
      <c r="AA388" t="s">
        <v>498</v>
      </c>
    </row>
    <row r="389" spans="1:27" x14ac:dyDescent="0.25">
      <c r="A389" t="s">
        <v>431</v>
      </c>
      <c r="B389" s="1">
        <v>46042</v>
      </c>
      <c r="C389" s="2">
        <v>0.8</v>
      </c>
      <c r="D389" t="s">
        <v>35</v>
      </c>
      <c r="E389" t="s">
        <v>32</v>
      </c>
      <c r="F389" t="s">
        <v>45</v>
      </c>
      <c r="G389" t="s">
        <v>406</v>
      </c>
      <c r="H389" t="s">
        <v>36</v>
      </c>
      <c r="I389" t="s">
        <v>36</v>
      </c>
      <c r="J389">
        <v>12</v>
      </c>
      <c r="K389">
        <v>70</v>
      </c>
      <c r="L389">
        <v>1</v>
      </c>
      <c r="M389">
        <v>79</v>
      </c>
      <c r="N389">
        <v>244</v>
      </c>
      <c r="O389">
        <v>132</v>
      </c>
      <c r="P389">
        <v>43518</v>
      </c>
      <c r="Q389">
        <v>1.41</v>
      </c>
      <c r="R389">
        <v>61478</v>
      </c>
      <c r="S389">
        <v>1768</v>
      </c>
      <c r="T389">
        <v>360</v>
      </c>
      <c r="U389">
        <v>453</v>
      </c>
      <c r="V389">
        <v>193</v>
      </c>
      <c r="W389">
        <v>1162</v>
      </c>
      <c r="X389">
        <v>34</v>
      </c>
      <c r="Y389" t="s">
        <v>501</v>
      </c>
      <c r="Z389">
        <v>3936</v>
      </c>
      <c r="AA389" t="s">
        <v>498</v>
      </c>
    </row>
    <row r="390" spans="1:27" x14ac:dyDescent="0.25">
      <c r="A390" t="s">
        <v>432</v>
      </c>
      <c r="B390" s="1">
        <v>46042</v>
      </c>
      <c r="C390" s="2">
        <v>0.80208333333333337</v>
      </c>
      <c r="D390" t="s">
        <v>35</v>
      </c>
      <c r="E390" t="s">
        <v>26</v>
      </c>
      <c r="F390" t="s">
        <v>27</v>
      </c>
      <c r="G390" t="s">
        <v>406</v>
      </c>
      <c r="H390" t="s">
        <v>36</v>
      </c>
      <c r="I390" t="s">
        <v>29</v>
      </c>
      <c r="J390">
        <v>7</v>
      </c>
      <c r="K390">
        <v>0</v>
      </c>
      <c r="L390">
        <v>1</v>
      </c>
      <c r="M390">
        <v>221</v>
      </c>
      <c r="N390">
        <v>140</v>
      </c>
      <c r="O390">
        <v>269</v>
      </c>
      <c r="P390">
        <v>93900</v>
      </c>
      <c r="Q390">
        <v>1.28</v>
      </c>
      <c r="R390">
        <v>119966</v>
      </c>
      <c r="S390">
        <v>3962</v>
      </c>
      <c r="T390">
        <v>529</v>
      </c>
      <c r="U390">
        <v>959</v>
      </c>
      <c r="V390">
        <v>136</v>
      </c>
      <c r="W390">
        <v>0</v>
      </c>
      <c r="X390">
        <v>94</v>
      </c>
      <c r="Y390" t="s">
        <v>497</v>
      </c>
      <c r="Z390">
        <v>5586</v>
      </c>
      <c r="AA390" t="s">
        <v>498</v>
      </c>
    </row>
    <row r="391" spans="1:27" x14ac:dyDescent="0.25">
      <c r="A391" t="s">
        <v>433</v>
      </c>
      <c r="B391" s="1">
        <v>46044</v>
      </c>
      <c r="C391" s="2">
        <v>0.34375</v>
      </c>
      <c r="D391" t="s">
        <v>31</v>
      </c>
      <c r="E391" t="s">
        <v>32</v>
      </c>
      <c r="F391" t="s">
        <v>33</v>
      </c>
      <c r="G391" t="s">
        <v>406</v>
      </c>
      <c r="H391" t="s">
        <v>29</v>
      </c>
      <c r="I391" t="s">
        <v>29</v>
      </c>
      <c r="J391">
        <v>6</v>
      </c>
      <c r="K391">
        <v>0</v>
      </c>
      <c r="L391">
        <v>9</v>
      </c>
      <c r="M391">
        <v>108</v>
      </c>
      <c r="N391">
        <v>80</v>
      </c>
      <c r="O391">
        <v>0</v>
      </c>
      <c r="P391">
        <v>8801</v>
      </c>
      <c r="Q391">
        <v>1.1299999999999999</v>
      </c>
      <c r="R391">
        <v>9938</v>
      </c>
      <c r="S391">
        <v>370</v>
      </c>
      <c r="T391">
        <v>68</v>
      </c>
      <c r="U391">
        <v>89</v>
      </c>
      <c r="V391">
        <v>47</v>
      </c>
      <c r="W391">
        <v>0</v>
      </c>
      <c r="X391">
        <v>24</v>
      </c>
      <c r="Y391" t="s">
        <v>497</v>
      </c>
      <c r="Z391">
        <v>574</v>
      </c>
      <c r="AA391" t="s">
        <v>498</v>
      </c>
    </row>
    <row r="392" spans="1:27" x14ac:dyDescent="0.25">
      <c r="A392" t="s">
        <v>434</v>
      </c>
      <c r="B392" s="1">
        <v>46044</v>
      </c>
      <c r="C392" s="2">
        <v>0.60138888888888886</v>
      </c>
      <c r="D392" t="s">
        <v>25</v>
      </c>
      <c r="E392" t="s">
        <v>32</v>
      </c>
      <c r="F392" t="s">
        <v>45</v>
      </c>
      <c r="G392" t="s">
        <v>406</v>
      </c>
      <c r="H392" t="s">
        <v>29</v>
      </c>
      <c r="I392" t="s">
        <v>29</v>
      </c>
      <c r="J392">
        <v>12</v>
      </c>
      <c r="K392">
        <v>26</v>
      </c>
      <c r="L392">
        <v>1</v>
      </c>
      <c r="M392">
        <v>127</v>
      </c>
      <c r="N392">
        <v>217</v>
      </c>
      <c r="O392">
        <v>0</v>
      </c>
      <c r="P392">
        <v>9109</v>
      </c>
      <c r="Q392">
        <v>1.02</v>
      </c>
      <c r="R392">
        <v>9333</v>
      </c>
      <c r="S392">
        <v>441</v>
      </c>
      <c r="T392">
        <v>99</v>
      </c>
      <c r="U392">
        <v>124</v>
      </c>
      <c r="V392">
        <v>59</v>
      </c>
      <c r="W392">
        <v>0</v>
      </c>
      <c r="X392">
        <v>2</v>
      </c>
      <c r="Y392" t="s">
        <v>497</v>
      </c>
      <c r="Z392">
        <v>723</v>
      </c>
      <c r="AA392" t="s">
        <v>498</v>
      </c>
    </row>
    <row r="393" spans="1:27" x14ac:dyDescent="0.25">
      <c r="A393" t="s">
        <v>435</v>
      </c>
      <c r="B393" s="1">
        <v>46044</v>
      </c>
      <c r="C393" s="2">
        <v>0.86319444444444449</v>
      </c>
      <c r="D393" t="s">
        <v>35</v>
      </c>
      <c r="E393" t="s">
        <v>39</v>
      </c>
      <c r="F393" t="s">
        <v>42</v>
      </c>
      <c r="G393" t="s">
        <v>406</v>
      </c>
      <c r="H393" t="s">
        <v>36</v>
      </c>
      <c r="I393" t="s">
        <v>29</v>
      </c>
      <c r="J393">
        <v>4</v>
      </c>
      <c r="K393">
        <v>0</v>
      </c>
      <c r="L393">
        <v>1</v>
      </c>
      <c r="M393">
        <v>407</v>
      </c>
      <c r="N393">
        <v>68</v>
      </c>
      <c r="O393">
        <v>337</v>
      </c>
      <c r="P393">
        <v>10492</v>
      </c>
      <c r="Q393">
        <v>1.88</v>
      </c>
      <c r="R393">
        <v>19743</v>
      </c>
      <c r="S393">
        <v>315</v>
      </c>
      <c r="T393">
        <v>101</v>
      </c>
      <c r="U393">
        <v>149</v>
      </c>
      <c r="V393">
        <v>0</v>
      </c>
      <c r="W393">
        <v>0</v>
      </c>
      <c r="X393">
        <v>6</v>
      </c>
      <c r="Y393" t="s">
        <v>499</v>
      </c>
      <c r="Z393">
        <v>565</v>
      </c>
      <c r="AA393" t="s">
        <v>498</v>
      </c>
    </row>
    <row r="394" spans="1:27" x14ac:dyDescent="0.25">
      <c r="A394" t="s">
        <v>436</v>
      </c>
      <c r="B394" s="1">
        <v>46045</v>
      </c>
      <c r="C394" s="2">
        <v>0.82847222222222228</v>
      </c>
      <c r="D394" t="s">
        <v>35</v>
      </c>
      <c r="E394" t="s">
        <v>48</v>
      </c>
      <c r="F394" t="s">
        <v>42</v>
      </c>
      <c r="G394" t="s">
        <v>406</v>
      </c>
      <c r="H394" t="s">
        <v>29</v>
      </c>
      <c r="I394" t="s">
        <v>29</v>
      </c>
      <c r="J394">
        <v>5</v>
      </c>
      <c r="K394">
        <v>0</v>
      </c>
      <c r="L394">
        <v>1</v>
      </c>
      <c r="M394">
        <v>220</v>
      </c>
      <c r="N394">
        <v>49</v>
      </c>
      <c r="O394">
        <v>0</v>
      </c>
      <c r="P394">
        <v>7873</v>
      </c>
      <c r="Q394">
        <v>1.03</v>
      </c>
      <c r="R394">
        <v>8085</v>
      </c>
      <c r="S394">
        <v>42</v>
      </c>
      <c r="T394">
        <v>11</v>
      </c>
      <c r="U394">
        <v>13</v>
      </c>
      <c r="V394">
        <v>3</v>
      </c>
      <c r="W394">
        <v>0</v>
      </c>
      <c r="X394">
        <v>7</v>
      </c>
      <c r="Y394" t="s">
        <v>497</v>
      </c>
      <c r="Z394">
        <v>69</v>
      </c>
      <c r="AA394" t="s">
        <v>498</v>
      </c>
    </row>
    <row r="395" spans="1:27" x14ac:dyDescent="0.25">
      <c r="A395" t="s">
        <v>437</v>
      </c>
      <c r="B395" s="1">
        <v>46045</v>
      </c>
      <c r="C395" s="2">
        <v>0.8569444444444444</v>
      </c>
      <c r="D395" t="s">
        <v>35</v>
      </c>
      <c r="E395" t="s">
        <v>32</v>
      </c>
      <c r="F395" t="s">
        <v>33</v>
      </c>
      <c r="G395" t="s">
        <v>406</v>
      </c>
      <c r="H395" t="s">
        <v>29</v>
      </c>
      <c r="I395" t="s">
        <v>29</v>
      </c>
      <c r="J395">
        <v>10</v>
      </c>
      <c r="K395">
        <v>0</v>
      </c>
      <c r="L395">
        <v>4</v>
      </c>
      <c r="M395">
        <v>280</v>
      </c>
      <c r="N395">
        <v>195</v>
      </c>
      <c r="O395">
        <v>0</v>
      </c>
      <c r="P395">
        <v>9024</v>
      </c>
      <c r="Q395">
        <v>1.23</v>
      </c>
      <c r="R395">
        <v>11117</v>
      </c>
      <c r="S395">
        <v>380</v>
      </c>
      <c r="T395">
        <v>65</v>
      </c>
      <c r="U395">
        <v>74</v>
      </c>
      <c r="V395">
        <v>50</v>
      </c>
      <c r="W395">
        <v>0</v>
      </c>
      <c r="X395">
        <v>8</v>
      </c>
      <c r="Y395" t="s">
        <v>499</v>
      </c>
      <c r="Z395">
        <v>569</v>
      </c>
      <c r="AA395" t="s">
        <v>498</v>
      </c>
    </row>
    <row r="396" spans="1:27" x14ac:dyDescent="0.25">
      <c r="A396" t="s">
        <v>438</v>
      </c>
      <c r="B396" s="1">
        <v>46046</v>
      </c>
      <c r="C396" s="2">
        <v>0.53263888888888888</v>
      </c>
      <c r="D396" t="s">
        <v>25</v>
      </c>
      <c r="E396" t="s">
        <v>26</v>
      </c>
      <c r="F396" t="s">
        <v>45</v>
      </c>
      <c r="G396" t="s">
        <v>406</v>
      </c>
      <c r="H396" t="s">
        <v>29</v>
      </c>
      <c r="I396" t="s">
        <v>29</v>
      </c>
      <c r="J396">
        <v>6</v>
      </c>
      <c r="K396">
        <v>38</v>
      </c>
      <c r="L396">
        <v>1</v>
      </c>
      <c r="M396">
        <v>106</v>
      </c>
      <c r="N396">
        <v>180</v>
      </c>
      <c r="O396">
        <v>0</v>
      </c>
      <c r="P396">
        <v>6501</v>
      </c>
      <c r="Q396">
        <v>1.24</v>
      </c>
      <c r="R396">
        <v>8079</v>
      </c>
      <c r="S396">
        <v>448</v>
      </c>
      <c r="T396">
        <v>62</v>
      </c>
      <c r="U396">
        <v>131</v>
      </c>
      <c r="V396">
        <v>15</v>
      </c>
      <c r="W396">
        <v>0</v>
      </c>
      <c r="X396">
        <v>0</v>
      </c>
      <c r="Y396" t="s">
        <v>497</v>
      </c>
      <c r="Z396">
        <v>656</v>
      </c>
      <c r="AA396" t="s">
        <v>498</v>
      </c>
    </row>
    <row r="397" spans="1:27" x14ac:dyDescent="0.25">
      <c r="A397" t="s">
        <v>439</v>
      </c>
      <c r="B397" s="1">
        <v>46047</v>
      </c>
      <c r="C397" s="2">
        <v>0.50486111111111109</v>
      </c>
      <c r="D397" t="s">
        <v>25</v>
      </c>
      <c r="E397" t="s">
        <v>48</v>
      </c>
      <c r="F397" t="s">
        <v>42</v>
      </c>
      <c r="G397" t="s">
        <v>406</v>
      </c>
      <c r="H397" t="s">
        <v>36</v>
      </c>
      <c r="I397" t="s">
        <v>36</v>
      </c>
      <c r="J397">
        <v>6</v>
      </c>
      <c r="K397">
        <v>0</v>
      </c>
      <c r="L397">
        <v>1</v>
      </c>
      <c r="M397">
        <v>160</v>
      </c>
      <c r="N397">
        <v>44</v>
      </c>
      <c r="O397">
        <v>273</v>
      </c>
      <c r="P397">
        <v>19197</v>
      </c>
      <c r="Q397">
        <v>1.24</v>
      </c>
      <c r="R397">
        <v>23826</v>
      </c>
      <c r="S397">
        <v>171</v>
      </c>
      <c r="T397">
        <v>50</v>
      </c>
      <c r="U397">
        <v>56</v>
      </c>
      <c r="V397">
        <v>14</v>
      </c>
      <c r="W397">
        <v>436</v>
      </c>
      <c r="X397">
        <v>5</v>
      </c>
      <c r="Y397" t="s">
        <v>497</v>
      </c>
      <c r="Z397">
        <v>727</v>
      </c>
      <c r="AA397" t="s">
        <v>498</v>
      </c>
    </row>
    <row r="398" spans="1:27" x14ac:dyDescent="0.25">
      <c r="A398" t="s">
        <v>440</v>
      </c>
      <c r="B398" s="1">
        <v>46047</v>
      </c>
      <c r="C398" s="2">
        <v>0.64097222222222228</v>
      </c>
      <c r="D398" t="s">
        <v>38</v>
      </c>
      <c r="E398" t="s">
        <v>26</v>
      </c>
      <c r="F398" t="s">
        <v>42</v>
      </c>
      <c r="G398" t="s">
        <v>406</v>
      </c>
      <c r="H398" t="s">
        <v>29</v>
      </c>
      <c r="I398" t="s">
        <v>29</v>
      </c>
      <c r="J398">
        <v>4</v>
      </c>
      <c r="K398">
        <v>0</v>
      </c>
      <c r="L398">
        <v>1</v>
      </c>
      <c r="M398">
        <v>265</v>
      </c>
      <c r="N398">
        <v>51</v>
      </c>
      <c r="O398">
        <v>0</v>
      </c>
      <c r="P398">
        <v>13031</v>
      </c>
      <c r="Q398">
        <v>1.2</v>
      </c>
      <c r="R398">
        <v>15672</v>
      </c>
      <c r="S398">
        <v>454</v>
      </c>
      <c r="T398">
        <v>61</v>
      </c>
      <c r="U398">
        <v>111</v>
      </c>
      <c r="V398">
        <v>13</v>
      </c>
      <c r="W398">
        <v>0</v>
      </c>
      <c r="X398">
        <v>41</v>
      </c>
      <c r="Y398" t="s">
        <v>499</v>
      </c>
      <c r="Z398">
        <v>639</v>
      </c>
      <c r="AA398" t="s">
        <v>498</v>
      </c>
    </row>
    <row r="399" spans="1:27" x14ac:dyDescent="0.25">
      <c r="A399" t="s">
        <v>441</v>
      </c>
      <c r="B399" s="1">
        <v>46047</v>
      </c>
      <c r="C399" s="2">
        <v>0.77013888888888893</v>
      </c>
      <c r="D399" t="s">
        <v>38</v>
      </c>
      <c r="E399" t="s">
        <v>26</v>
      </c>
      <c r="F399" t="s">
        <v>45</v>
      </c>
      <c r="G399" t="s">
        <v>406</v>
      </c>
      <c r="H399" t="s">
        <v>29</v>
      </c>
      <c r="I399" t="s">
        <v>36</v>
      </c>
      <c r="J399">
        <v>5</v>
      </c>
      <c r="K399">
        <v>29</v>
      </c>
      <c r="L399">
        <v>1</v>
      </c>
      <c r="M399">
        <v>173</v>
      </c>
      <c r="N399">
        <v>267</v>
      </c>
      <c r="O399">
        <v>0</v>
      </c>
      <c r="P399">
        <v>8291</v>
      </c>
      <c r="Q399">
        <v>1.21</v>
      </c>
      <c r="R399">
        <v>10064</v>
      </c>
      <c r="S399">
        <v>548</v>
      </c>
      <c r="T399">
        <v>82</v>
      </c>
      <c r="U399">
        <v>152</v>
      </c>
      <c r="V399">
        <v>15</v>
      </c>
      <c r="W399">
        <v>315</v>
      </c>
      <c r="X399">
        <v>16</v>
      </c>
      <c r="Y399" t="s">
        <v>497</v>
      </c>
      <c r="Z399">
        <v>1112</v>
      </c>
      <c r="AA399" t="s">
        <v>498</v>
      </c>
    </row>
    <row r="400" spans="1:27" x14ac:dyDescent="0.25">
      <c r="A400" t="s">
        <v>442</v>
      </c>
      <c r="B400" s="1">
        <v>46048</v>
      </c>
      <c r="C400" s="2">
        <v>0.84027777777777779</v>
      </c>
      <c r="D400" t="s">
        <v>35</v>
      </c>
      <c r="E400" t="s">
        <v>32</v>
      </c>
      <c r="F400" t="s">
        <v>45</v>
      </c>
      <c r="G400" t="s">
        <v>406</v>
      </c>
      <c r="H400" t="s">
        <v>29</v>
      </c>
      <c r="I400" t="s">
        <v>36</v>
      </c>
      <c r="J400">
        <v>13</v>
      </c>
      <c r="K400">
        <v>37</v>
      </c>
      <c r="L400">
        <v>1</v>
      </c>
      <c r="M400">
        <v>60</v>
      </c>
      <c r="N400">
        <v>333</v>
      </c>
      <c r="O400">
        <v>0</v>
      </c>
      <c r="P400">
        <v>3608</v>
      </c>
      <c r="Q400">
        <v>1.37</v>
      </c>
      <c r="R400">
        <v>4945</v>
      </c>
      <c r="S400">
        <v>154</v>
      </c>
      <c r="T400">
        <v>24</v>
      </c>
      <c r="U400">
        <v>30</v>
      </c>
      <c r="V400">
        <v>15</v>
      </c>
      <c r="W400">
        <v>157</v>
      </c>
      <c r="X400">
        <v>6</v>
      </c>
      <c r="Y400" t="s">
        <v>501</v>
      </c>
      <c r="Z400">
        <v>380</v>
      </c>
      <c r="AA400" t="s">
        <v>498</v>
      </c>
    </row>
    <row r="401" spans="1:27" x14ac:dyDescent="0.25">
      <c r="A401" t="s">
        <v>443</v>
      </c>
      <c r="B401" s="1">
        <v>46050</v>
      </c>
      <c r="C401" s="2">
        <v>0.74722222222222223</v>
      </c>
      <c r="D401" t="s">
        <v>38</v>
      </c>
      <c r="E401" t="s">
        <v>48</v>
      </c>
      <c r="F401" t="s">
        <v>33</v>
      </c>
      <c r="G401" t="s">
        <v>406</v>
      </c>
      <c r="H401" t="s">
        <v>29</v>
      </c>
      <c r="I401" t="s">
        <v>29</v>
      </c>
      <c r="J401">
        <v>2</v>
      </c>
      <c r="K401">
        <v>0</v>
      </c>
      <c r="L401">
        <v>3</v>
      </c>
      <c r="M401">
        <v>237</v>
      </c>
      <c r="N401">
        <v>172</v>
      </c>
      <c r="O401">
        <v>0</v>
      </c>
      <c r="P401">
        <v>6948</v>
      </c>
      <c r="Q401">
        <v>1.06</v>
      </c>
      <c r="R401">
        <v>7385</v>
      </c>
      <c r="S401">
        <v>71</v>
      </c>
      <c r="T401">
        <v>16</v>
      </c>
      <c r="U401">
        <v>22</v>
      </c>
      <c r="V401">
        <v>5</v>
      </c>
      <c r="W401">
        <v>0</v>
      </c>
      <c r="X401">
        <v>11</v>
      </c>
      <c r="Y401" t="s">
        <v>497</v>
      </c>
      <c r="Z401">
        <v>114</v>
      </c>
      <c r="AA401" t="s">
        <v>498</v>
      </c>
    </row>
    <row r="402" spans="1:27" x14ac:dyDescent="0.25">
      <c r="A402" t="s">
        <v>444</v>
      </c>
      <c r="B402" s="1">
        <v>46051</v>
      </c>
      <c r="C402" s="2">
        <v>0.91319444444444442</v>
      </c>
      <c r="D402" t="s">
        <v>35</v>
      </c>
      <c r="E402" t="s">
        <v>48</v>
      </c>
      <c r="F402" t="s">
        <v>27</v>
      </c>
      <c r="G402" t="s">
        <v>406</v>
      </c>
      <c r="H402" t="s">
        <v>29</v>
      </c>
      <c r="I402" t="s">
        <v>29</v>
      </c>
      <c r="J402">
        <v>5</v>
      </c>
      <c r="K402">
        <v>0</v>
      </c>
      <c r="L402">
        <v>1</v>
      </c>
      <c r="M402">
        <v>110</v>
      </c>
      <c r="N402">
        <v>106</v>
      </c>
      <c r="O402">
        <v>0</v>
      </c>
      <c r="P402">
        <v>3722</v>
      </c>
      <c r="Q402">
        <v>1.01</v>
      </c>
      <c r="R402">
        <v>3777</v>
      </c>
      <c r="S402">
        <v>46</v>
      </c>
      <c r="T402">
        <v>12</v>
      </c>
      <c r="U402">
        <v>15</v>
      </c>
      <c r="V402">
        <v>3</v>
      </c>
      <c r="W402">
        <v>0</v>
      </c>
      <c r="X402">
        <v>3</v>
      </c>
      <c r="Y402" t="s">
        <v>497</v>
      </c>
      <c r="Z402">
        <v>76</v>
      </c>
      <c r="AA402" t="s">
        <v>498</v>
      </c>
    </row>
    <row r="403" spans="1:27" x14ac:dyDescent="0.25">
      <c r="A403" t="s">
        <v>445</v>
      </c>
      <c r="B403" s="1">
        <v>46053</v>
      </c>
      <c r="C403" s="2">
        <v>0.68125000000000002</v>
      </c>
      <c r="D403" t="s">
        <v>38</v>
      </c>
      <c r="E403" t="s">
        <v>32</v>
      </c>
      <c r="F403" t="s">
        <v>33</v>
      </c>
      <c r="G403" t="s">
        <v>406</v>
      </c>
      <c r="H403" t="s">
        <v>29</v>
      </c>
      <c r="I403" t="s">
        <v>36</v>
      </c>
      <c r="J403">
        <v>15</v>
      </c>
      <c r="K403">
        <v>0</v>
      </c>
      <c r="L403">
        <v>9</v>
      </c>
      <c r="M403">
        <v>133</v>
      </c>
      <c r="N403">
        <v>88</v>
      </c>
      <c r="O403">
        <v>0</v>
      </c>
      <c r="P403">
        <v>11122</v>
      </c>
      <c r="Q403">
        <v>1.18</v>
      </c>
      <c r="R403">
        <v>13122</v>
      </c>
      <c r="S403">
        <v>405</v>
      </c>
      <c r="T403">
        <v>77</v>
      </c>
      <c r="U403">
        <v>93</v>
      </c>
      <c r="V403">
        <v>51</v>
      </c>
      <c r="W403">
        <v>420</v>
      </c>
      <c r="X403">
        <v>12</v>
      </c>
      <c r="Y403" t="s">
        <v>497</v>
      </c>
      <c r="Z403">
        <v>1046</v>
      </c>
      <c r="AA403" t="s">
        <v>498</v>
      </c>
    </row>
    <row r="404" spans="1:27" x14ac:dyDescent="0.25">
      <c r="A404" t="s">
        <v>446</v>
      </c>
      <c r="B404" s="1">
        <v>46054</v>
      </c>
      <c r="C404" s="2">
        <v>0.3611111111111111</v>
      </c>
      <c r="D404" t="s">
        <v>31</v>
      </c>
      <c r="E404" t="s">
        <v>48</v>
      </c>
      <c r="F404" t="s">
        <v>27</v>
      </c>
      <c r="G404" t="s">
        <v>406</v>
      </c>
      <c r="H404" t="s">
        <v>36</v>
      </c>
      <c r="I404" t="s">
        <v>36</v>
      </c>
      <c r="J404">
        <v>4</v>
      </c>
      <c r="K404">
        <v>0</v>
      </c>
      <c r="L404">
        <v>1</v>
      </c>
      <c r="M404">
        <v>192</v>
      </c>
      <c r="N404">
        <v>72</v>
      </c>
      <c r="O404">
        <v>211</v>
      </c>
      <c r="P404">
        <v>15411</v>
      </c>
      <c r="Q404">
        <v>1.23</v>
      </c>
      <c r="R404">
        <v>19022</v>
      </c>
      <c r="S404">
        <v>148</v>
      </c>
      <c r="T404">
        <v>32</v>
      </c>
      <c r="U404">
        <v>49</v>
      </c>
      <c r="V404">
        <v>12</v>
      </c>
      <c r="W404">
        <v>328</v>
      </c>
      <c r="X404">
        <v>17</v>
      </c>
      <c r="Y404" t="s">
        <v>497</v>
      </c>
      <c r="Z404">
        <v>569</v>
      </c>
      <c r="AA404" t="s">
        <v>498</v>
      </c>
    </row>
    <row r="405" spans="1:27" x14ac:dyDescent="0.25">
      <c r="A405" t="s">
        <v>447</v>
      </c>
      <c r="B405" s="1">
        <v>46054</v>
      </c>
      <c r="C405" s="2">
        <v>0.43472222222222223</v>
      </c>
      <c r="D405" t="s">
        <v>31</v>
      </c>
      <c r="E405" t="s">
        <v>32</v>
      </c>
      <c r="F405" t="s">
        <v>27</v>
      </c>
      <c r="G405" t="s">
        <v>406</v>
      </c>
      <c r="H405" t="s">
        <v>36</v>
      </c>
      <c r="I405" t="s">
        <v>29</v>
      </c>
      <c r="J405">
        <v>5</v>
      </c>
      <c r="K405">
        <v>0</v>
      </c>
      <c r="L405">
        <v>1</v>
      </c>
      <c r="M405">
        <v>208</v>
      </c>
      <c r="N405">
        <v>224</v>
      </c>
      <c r="O405">
        <v>212</v>
      </c>
      <c r="P405">
        <v>22494</v>
      </c>
      <c r="Q405">
        <v>1.23</v>
      </c>
      <c r="R405">
        <v>27714</v>
      </c>
      <c r="S405">
        <v>1162</v>
      </c>
      <c r="T405">
        <v>209</v>
      </c>
      <c r="U405">
        <v>290</v>
      </c>
      <c r="V405">
        <v>168</v>
      </c>
      <c r="W405">
        <v>0</v>
      </c>
      <c r="X405">
        <v>13</v>
      </c>
      <c r="Y405" t="s">
        <v>497</v>
      </c>
      <c r="Z405">
        <v>1829</v>
      </c>
      <c r="AA405" t="s">
        <v>498</v>
      </c>
    </row>
    <row r="406" spans="1:27" x14ac:dyDescent="0.25">
      <c r="A406" t="s">
        <v>448</v>
      </c>
      <c r="B406" s="1">
        <v>46054</v>
      </c>
      <c r="C406" s="2">
        <v>0.4826388888888889</v>
      </c>
      <c r="D406" t="s">
        <v>25</v>
      </c>
      <c r="E406" t="s">
        <v>26</v>
      </c>
      <c r="F406" t="s">
        <v>45</v>
      </c>
      <c r="G406" t="s">
        <v>406</v>
      </c>
      <c r="H406" t="s">
        <v>29</v>
      </c>
      <c r="I406" t="s">
        <v>36</v>
      </c>
      <c r="J406">
        <v>6</v>
      </c>
      <c r="K406">
        <v>40</v>
      </c>
      <c r="L406">
        <v>1</v>
      </c>
      <c r="M406">
        <v>68</v>
      </c>
      <c r="N406">
        <v>205</v>
      </c>
      <c r="O406">
        <v>0</v>
      </c>
      <c r="P406">
        <v>14014</v>
      </c>
      <c r="Q406">
        <v>1.0900000000000001</v>
      </c>
      <c r="R406">
        <v>15333</v>
      </c>
      <c r="S406">
        <v>1036</v>
      </c>
      <c r="T406">
        <v>144</v>
      </c>
      <c r="U406">
        <v>225</v>
      </c>
      <c r="V406">
        <v>26</v>
      </c>
      <c r="W406">
        <v>450</v>
      </c>
      <c r="X406">
        <v>1</v>
      </c>
      <c r="Y406" t="s">
        <v>501</v>
      </c>
      <c r="Z406">
        <v>1881</v>
      </c>
      <c r="AA406" t="s">
        <v>498</v>
      </c>
    </row>
    <row r="407" spans="1:27" x14ac:dyDescent="0.25">
      <c r="A407" t="s">
        <v>449</v>
      </c>
      <c r="B407" s="1">
        <v>46054</v>
      </c>
      <c r="C407" s="2">
        <v>0.5</v>
      </c>
      <c r="D407" t="s">
        <v>25</v>
      </c>
      <c r="E407" t="s">
        <v>26</v>
      </c>
      <c r="F407" t="s">
        <v>33</v>
      </c>
      <c r="G407" t="s">
        <v>406</v>
      </c>
      <c r="H407" t="s">
        <v>36</v>
      </c>
      <c r="I407" t="s">
        <v>36</v>
      </c>
      <c r="J407">
        <v>4</v>
      </c>
      <c r="K407">
        <v>0</v>
      </c>
      <c r="L407">
        <v>5</v>
      </c>
      <c r="M407">
        <v>122</v>
      </c>
      <c r="N407">
        <v>205</v>
      </c>
      <c r="O407">
        <v>301</v>
      </c>
      <c r="P407">
        <v>59902</v>
      </c>
      <c r="Q407">
        <v>1.74</v>
      </c>
      <c r="R407">
        <v>104515</v>
      </c>
      <c r="S407">
        <v>699</v>
      </c>
      <c r="T407">
        <v>104</v>
      </c>
      <c r="U407">
        <v>180</v>
      </c>
      <c r="V407">
        <v>23</v>
      </c>
      <c r="W407">
        <v>2048</v>
      </c>
      <c r="X407">
        <v>10</v>
      </c>
      <c r="Y407" t="s">
        <v>497</v>
      </c>
      <c r="Z407">
        <v>3054</v>
      </c>
      <c r="AA407" t="s">
        <v>498</v>
      </c>
    </row>
    <row r="408" spans="1:27" x14ac:dyDescent="0.25">
      <c r="A408" t="s">
        <v>450</v>
      </c>
      <c r="B408" s="1">
        <v>46054</v>
      </c>
      <c r="C408" s="2">
        <v>0.73472222222222228</v>
      </c>
      <c r="D408" t="s">
        <v>38</v>
      </c>
      <c r="E408" t="s">
        <v>39</v>
      </c>
      <c r="F408" t="s">
        <v>27</v>
      </c>
      <c r="G408" t="s">
        <v>406</v>
      </c>
      <c r="H408" t="s">
        <v>36</v>
      </c>
      <c r="I408" t="s">
        <v>29</v>
      </c>
      <c r="J408">
        <v>4</v>
      </c>
      <c r="K408">
        <v>0</v>
      </c>
      <c r="L408">
        <v>1</v>
      </c>
      <c r="M408">
        <v>163</v>
      </c>
      <c r="N408">
        <v>106</v>
      </c>
      <c r="O408">
        <v>285</v>
      </c>
      <c r="P408">
        <v>14613</v>
      </c>
      <c r="Q408">
        <v>1.49</v>
      </c>
      <c r="R408">
        <v>21785</v>
      </c>
      <c r="S408">
        <v>445</v>
      </c>
      <c r="T408">
        <v>155</v>
      </c>
      <c r="U408">
        <v>252</v>
      </c>
      <c r="V408">
        <v>0</v>
      </c>
      <c r="W408">
        <v>0</v>
      </c>
      <c r="X408">
        <v>7</v>
      </c>
      <c r="Y408" t="s">
        <v>497</v>
      </c>
      <c r="Z408">
        <v>852</v>
      </c>
      <c r="AA408" t="s">
        <v>498</v>
      </c>
    </row>
    <row r="409" spans="1:27" x14ac:dyDescent="0.25">
      <c r="A409" t="s">
        <v>451</v>
      </c>
      <c r="B409" s="1">
        <v>46054</v>
      </c>
      <c r="C409" s="2">
        <v>0.78819444444444442</v>
      </c>
      <c r="D409" t="s">
        <v>38</v>
      </c>
      <c r="E409" t="s">
        <v>39</v>
      </c>
      <c r="F409" t="s">
        <v>33</v>
      </c>
      <c r="G409" t="s">
        <v>406</v>
      </c>
      <c r="H409" t="s">
        <v>29</v>
      </c>
      <c r="I409" t="s">
        <v>36</v>
      </c>
      <c r="J409">
        <v>4</v>
      </c>
      <c r="K409">
        <v>0</v>
      </c>
      <c r="L409">
        <v>8</v>
      </c>
      <c r="M409">
        <v>127</v>
      </c>
      <c r="N409">
        <v>126</v>
      </c>
      <c r="O409">
        <v>0</v>
      </c>
      <c r="P409">
        <v>6772</v>
      </c>
      <c r="Q409">
        <v>1.19</v>
      </c>
      <c r="R409">
        <v>8049</v>
      </c>
      <c r="S409">
        <v>78</v>
      </c>
      <c r="T409">
        <v>27</v>
      </c>
      <c r="U409">
        <v>37</v>
      </c>
      <c r="V409">
        <v>0</v>
      </c>
      <c r="W409">
        <v>276</v>
      </c>
      <c r="X409">
        <v>5</v>
      </c>
      <c r="Y409" t="s">
        <v>497</v>
      </c>
      <c r="Z409">
        <v>418</v>
      </c>
      <c r="AA409" t="s">
        <v>498</v>
      </c>
    </row>
    <row r="410" spans="1:27" x14ac:dyDescent="0.25">
      <c r="A410" t="s">
        <v>452</v>
      </c>
      <c r="B410" s="1">
        <v>46055</v>
      </c>
      <c r="C410" s="2">
        <v>0.4284722222222222</v>
      </c>
      <c r="D410" t="s">
        <v>31</v>
      </c>
      <c r="E410" t="s">
        <v>39</v>
      </c>
      <c r="F410" t="s">
        <v>42</v>
      </c>
      <c r="G410" t="s">
        <v>406</v>
      </c>
      <c r="H410" t="s">
        <v>29</v>
      </c>
      <c r="I410" t="s">
        <v>29</v>
      </c>
      <c r="J410">
        <v>1</v>
      </c>
      <c r="K410">
        <v>0</v>
      </c>
      <c r="L410">
        <v>1</v>
      </c>
      <c r="M410">
        <v>294</v>
      </c>
      <c r="N410">
        <v>44</v>
      </c>
      <c r="O410">
        <v>0</v>
      </c>
      <c r="P410">
        <v>1915</v>
      </c>
      <c r="Q410">
        <v>1.22</v>
      </c>
      <c r="R410">
        <v>2342</v>
      </c>
      <c r="S410">
        <v>39</v>
      </c>
      <c r="T410">
        <v>15</v>
      </c>
      <c r="U410">
        <v>19</v>
      </c>
      <c r="V410">
        <v>0</v>
      </c>
      <c r="W410">
        <v>0</v>
      </c>
      <c r="X410">
        <v>7</v>
      </c>
      <c r="Y410" t="s">
        <v>499</v>
      </c>
      <c r="Z410">
        <v>73</v>
      </c>
      <c r="AA410" t="s">
        <v>498</v>
      </c>
    </row>
    <row r="411" spans="1:27" x14ac:dyDescent="0.25">
      <c r="A411" t="s">
        <v>453</v>
      </c>
      <c r="B411" s="1">
        <v>46055</v>
      </c>
      <c r="C411" s="2">
        <v>0.46666666666666667</v>
      </c>
      <c r="D411" t="s">
        <v>25</v>
      </c>
      <c r="E411" t="s">
        <v>32</v>
      </c>
      <c r="F411" t="s">
        <v>45</v>
      </c>
      <c r="G411" t="s">
        <v>406</v>
      </c>
      <c r="H411" t="s">
        <v>36</v>
      </c>
      <c r="I411" t="s">
        <v>29</v>
      </c>
      <c r="J411">
        <v>11</v>
      </c>
      <c r="K411">
        <v>77</v>
      </c>
      <c r="L411">
        <v>1</v>
      </c>
      <c r="M411">
        <v>184</v>
      </c>
      <c r="N411">
        <v>184</v>
      </c>
      <c r="O411">
        <v>364</v>
      </c>
      <c r="P411">
        <v>126135</v>
      </c>
      <c r="Q411">
        <v>1.72</v>
      </c>
      <c r="R411">
        <v>216697</v>
      </c>
      <c r="S411">
        <v>4516</v>
      </c>
      <c r="T411">
        <v>912</v>
      </c>
      <c r="U411">
        <v>1111</v>
      </c>
      <c r="V411">
        <v>533</v>
      </c>
      <c r="W411">
        <v>0</v>
      </c>
      <c r="X411">
        <v>75</v>
      </c>
      <c r="Y411" t="s">
        <v>497</v>
      </c>
      <c r="Z411">
        <v>7072</v>
      </c>
      <c r="AA411" t="s">
        <v>498</v>
      </c>
    </row>
    <row r="412" spans="1:27" x14ac:dyDescent="0.25">
      <c r="A412" t="s">
        <v>454</v>
      </c>
      <c r="B412" s="1">
        <v>46055</v>
      </c>
      <c r="C412" s="2">
        <v>0.57708333333333328</v>
      </c>
      <c r="D412" t="s">
        <v>25</v>
      </c>
      <c r="E412" t="s">
        <v>48</v>
      </c>
      <c r="F412" t="s">
        <v>42</v>
      </c>
      <c r="G412" t="s">
        <v>406</v>
      </c>
      <c r="H412" t="s">
        <v>29</v>
      </c>
      <c r="I412" t="s">
        <v>29</v>
      </c>
      <c r="J412">
        <v>3</v>
      </c>
      <c r="K412">
        <v>0</v>
      </c>
      <c r="L412">
        <v>1</v>
      </c>
      <c r="M412">
        <v>485</v>
      </c>
      <c r="N412">
        <v>55</v>
      </c>
      <c r="O412">
        <v>0</v>
      </c>
      <c r="P412">
        <v>5010</v>
      </c>
      <c r="Q412">
        <v>1</v>
      </c>
      <c r="R412">
        <v>5010</v>
      </c>
      <c r="S412">
        <v>65</v>
      </c>
      <c r="T412">
        <v>17</v>
      </c>
      <c r="U412">
        <v>20</v>
      </c>
      <c r="V412">
        <v>4</v>
      </c>
      <c r="W412">
        <v>0</v>
      </c>
      <c r="X412">
        <v>2</v>
      </c>
      <c r="Y412" t="s">
        <v>499</v>
      </c>
      <c r="Z412">
        <v>106</v>
      </c>
      <c r="AA412" t="s">
        <v>498</v>
      </c>
    </row>
    <row r="413" spans="1:27" x14ac:dyDescent="0.25">
      <c r="A413" t="s">
        <v>455</v>
      </c>
      <c r="B413" s="1">
        <v>46056</v>
      </c>
      <c r="C413" s="2">
        <v>0.30277777777777776</v>
      </c>
      <c r="D413" t="s">
        <v>31</v>
      </c>
      <c r="E413" t="s">
        <v>32</v>
      </c>
      <c r="F413" t="s">
        <v>45</v>
      </c>
      <c r="G413" t="s">
        <v>406</v>
      </c>
      <c r="H413" t="s">
        <v>29</v>
      </c>
      <c r="I413" t="s">
        <v>36</v>
      </c>
      <c r="J413">
        <v>14</v>
      </c>
      <c r="K413">
        <v>41</v>
      </c>
      <c r="L413">
        <v>1</v>
      </c>
      <c r="M413">
        <v>137</v>
      </c>
      <c r="N413">
        <v>193</v>
      </c>
      <c r="O413">
        <v>0</v>
      </c>
      <c r="P413">
        <v>10128</v>
      </c>
      <c r="Q413">
        <v>1.08</v>
      </c>
      <c r="R413">
        <v>10919</v>
      </c>
      <c r="S413">
        <v>287</v>
      </c>
      <c r="T413">
        <v>49</v>
      </c>
      <c r="U413">
        <v>74</v>
      </c>
      <c r="V413">
        <v>30</v>
      </c>
      <c r="W413">
        <v>294</v>
      </c>
      <c r="X413">
        <v>3</v>
      </c>
      <c r="Y413" t="s">
        <v>497</v>
      </c>
      <c r="Z413">
        <v>734</v>
      </c>
      <c r="AA413" t="s">
        <v>498</v>
      </c>
    </row>
    <row r="414" spans="1:27" x14ac:dyDescent="0.25">
      <c r="A414" t="s">
        <v>456</v>
      </c>
      <c r="B414" s="1">
        <v>46056</v>
      </c>
      <c r="C414" s="2">
        <v>0.92847222222222225</v>
      </c>
      <c r="D414" t="s">
        <v>35</v>
      </c>
      <c r="E414" t="s">
        <v>39</v>
      </c>
      <c r="F414" t="s">
        <v>27</v>
      </c>
      <c r="G414" t="s">
        <v>406</v>
      </c>
      <c r="H414" t="s">
        <v>36</v>
      </c>
      <c r="I414" t="s">
        <v>36</v>
      </c>
      <c r="J414">
        <v>1</v>
      </c>
      <c r="K414">
        <v>0</v>
      </c>
      <c r="L414">
        <v>1</v>
      </c>
      <c r="M414">
        <v>205</v>
      </c>
      <c r="N414">
        <v>97</v>
      </c>
      <c r="O414">
        <v>140</v>
      </c>
      <c r="P414">
        <v>19820</v>
      </c>
      <c r="Q414">
        <v>1.48</v>
      </c>
      <c r="R414">
        <v>29385</v>
      </c>
      <c r="S414">
        <v>515</v>
      </c>
      <c r="T414">
        <v>194</v>
      </c>
      <c r="U414">
        <v>201</v>
      </c>
      <c r="V414">
        <v>0</v>
      </c>
      <c r="W414">
        <v>582</v>
      </c>
      <c r="X414">
        <v>7</v>
      </c>
      <c r="Y414" t="s">
        <v>497</v>
      </c>
      <c r="Z414">
        <v>1492</v>
      </c>
      <c r="AA414" t="s">
        <v>498</v>
      </c>
    </row>
    <row r="415" spans="1:27" x14ac:dyDescent="0.25">
      <c r="A415" t="s">
        <v>457</v>
      </c>
      <c r="B415" s="1">
        <v>46057</v>
      </c>
      <c r="C415" s="2">
        <v>0.50138888888888888</v>
      </c>
      <c r="D415" t="s">
        <v>25</v>
      </c>
      <c r="E415" t="s">
        <v>26</v>
      </c>
      <c r="F415" t="s">
        <v>45</v>
      </c>
      <c r="G415" t="s">
        <v>406</v>
      </c>
      <c r="H415" t="s">
        <v>29</v>
      </c>
      <c r="I415" t="s">
        <v>29</v>
      </c>
      <c r="J415">
        <v>4</v>
      </c>
      <c r="K415">
        <v>54</v>
      </c>
      <c r="L415">
        <v>1</v>
      </c>
      <c r="M415">
        <v>103</v>
      </c>
      <c r="N415">
        <v>352</v>
      </c>
      <c r="O415">
        <v>0</v>
      </c>
      <c r="P415">
        <v>7341</v>
      </c>
      <c r="Q415">
        <v>1.24</v>
      </c>
      <c r="R415">
        <v>9138</v>
      </c>
      <c r="S415">
        <v>487</v>
      </c>
      <c r="T415">
        <v>70</v>
      </c>
      <c r="U415">
        <v>119</v>
      </c>
      <c r="V415">
        <v>14</v>
      </c>
      <c r="W415">
        <v>0</v>
      </c>
      <c r="X415">
        <v>35</v>
      </c>
      <c r="Y415" t="s">
        <v>497</v>
      </c>
      <c r="Z415">
        <v>690</v>
      </c>
      <c r="AA415" t="s">
        <v>498</v>
      </c>
    </row>
    <row r="416" spans="1:27" x14ac:dyDescent="0.25">
      <c r="A416" t="s">
        <v>458</v>
      </c>
      <c r="B416" s="1">
        <v>46057</v>
      </c>
      <c r="C416" s="2">
        <v>0.56180555555555556</v>
      </c>
      <c r="D416" t="s">
        <v>25</v>
      </c>
      <c r="E416" t="s">
        <v>26</v>
      </c>
      <c r="F416" t="s">
        <v>45</v>
      </c>
      <c r="G416" t="s">
        <v>406</v>
      </c>
      <c r="H416" t="s">
        <v>36</v>
      </c>
      <c r="I416" t="s">
        <v>29</v>
      </c>
      <c r="J416">
        <v>4</v>
      </c>
      <c r="K416">
        <v>33</v>
      </c>
      <c r="L416">
        <v>1</v>
      </c>
      <c r="M416">
        <v>139</v>
      </c>
      <c r="N416">
        <v>180</v>
      </c>
      <c r="O416">
        <v>389</v>
      </c>
      <c r="P416">
        <v>64132</v>
      </c>
      <c r="Q416">
        <v>2</v>
      </c>
      <c r="R416">
        <v>128559</v>
      </c>
      <c r="S416">
        <v>11492</v>
      </c>
      <c r="T416">
        <v>1414</v>
      </c>
      <c r="U416">
        <v>2748</v>
      </c>
      <c r="V416">
        <v>320</v>
      </c>
      <c r="W416">
        <v>0</v>
      </c>
      <c r="X416">
        <v>32</v>
      </c>
      <c r="Y416" t="s">
        <v>497</v>
      </c>
      <c r="Z416">
        <v>15974</v>
      </c>
      <c r="AA416" t="s">
        <v>500</v>
      </c>
    </row>
    <row r="417" spans="1:27" x14ac:dyDescent="0.25">
      <c r="A417" t="s">
        <v>459</v>
      </c>
      <c r="B417" s="1">
        <v>46057</v>
      </c>
      <c r="C417" s="2">
        <v>0.73402777777777772</v>
      </c>
      <c r="D417" t="s">
        <v>38</v>
      </c>
      <c r="E417" t="s">
        <v>32</v>
      </c>
      <c r="F417" t="s">
        <v>33</v>
      </c>
      <c r="G417" t="s">
        <v>406</v>
      </c>
      <c r="H417" t="s">
        <v>29</v>
      </c>
      <c r="I417" t="s">
        <v>36</v>
      </c>
      <c r="J417">
        <v>7</v>
      </c>
      <c r="K417">
        <v>0</v>
      </c>
      <c r="L417">
        <v>10</v>
      </c>
      <c r="M417">
        <v>116</v>
      </c>
      <c r="N417">
        <v>250</v>
      </c>
      <c r="O417">
        <v>0</v>
      </c>
      <c r="P417">
        <v>14153</v>
      </c>
      <c r="Q417">
        <v>1</v>
      </c>
      <c r="R417">
        <v>14153</v>
      </c>
      <c r="S417">
        <v>632</v>
      </c>
      <c r="T417">
        <v>123</v>
      </c>
      <c r="U417">
        <v>150</v>
      </c>
      <c r="V417">
        <v>79</v>
      </c>
      <c r="W417">
        <v>286</v>
      </c>
      <c r="X417">
        <v>22</v>
      </c>
      <c r="Y417" t="s">
        <v>497</v>
      </c>
      <c r="Z417">
        <v>1270</v>
      </c>
      <c r="AA417" t="s">
        <v>498</v>
      </c>
    </row>
    <row r="418" spans="1:27" x14ac:dyDescent="0.25">
      <c r="A418" t="s">
        <v>460</v>
      </c>
      <c r="B418" s="1">
        <v>46061</v>
      </c>
      <c r="C418" s="2">
        <v>0.52916666666666667</v>
      </c>
      <c r="D418" t="s">
        <v>25</v>
      </c>
      <c r="E418" t="s">
        <v>26</v>
      </c>
      <c r="F418" t="s">
        <v>45</v>
      </c>
      <c r="G418" t="s">
        <v>406</v>
      </c>
      <c r="H418" t="s">
        <v>36</v>
      </c>
      <c r="I418" t="s">
        <v>29</v>
      </c>
      <c r="J418">
        <v>7</v>
      </c>
      <c r="K418">
        <v>26</v>
      </c>
      <c r="L418">
        <v>1</v>
      </c>
      <c r="M418">
        <v>159</v>
      </c>
      <c r="N418">
        <v>245</v>
      </c>
      <c r="O418">
        <v>199</v>
      </c>
      <c r="P418">
        <v>886</v>
      </c>
      <c r="Q418">
        <v>1.57</v>
      </c>
      <c r="R418">
        <v>1389</v>
      </c>
      <c r="S418">
        <v>125</v>
      </c>
      <c r="T418">
        <v>18</v>
      </c>
      <c r="U418">
        <v>31</v>
      </c>
      <c r="V418">
        <v>3</v>
      </c>
      <c r="W418">
        <v>0</v>
      </c>
      <c r="X418">
        <v>40</v>
      </c>
      <c r="Y418" t="s">
        <v>497</v>
      </c>
      <c r="Z418">
        <v>177</v>
      </c>
      <c r="AA418" t="s">
        <v>498</v>
      </c>
    </row>
    <row r="419" spans="1:27" x14ac:dyDescent="0.25">
      <c r="A419" t="s">
        <v>461</v>
      </c>
      <c r="B419" s="1">
        <v>46062</v>
      </c>
      <c r="C419" s="2">
        <v>0.36041666666666666</v>
      </c>
      <c r="D419" t="s">
        <v>31</v>
      </c>
      <c r="E419" t="s">
        <v>26</v>
      </c>
      <c r="F419" t="s">
        <v>33</v>
      </c>
      <c r="G419" t="s">
        <v>406</v>
      </c>
      <c r="H419" t="s">
        <v>29</v>
      </c>
      <c r="I419" t="s">
        <v>36</v>
      </c>
      <c r="J419">
        <v>5</v>
      </c>
      <c r="K419">
        <v>0</v>
      </c>
      <c r="L419">
        <v>9</v>
      </c>
      <c r="M419">
        <v>183</v>
      </c>
      <c r="N419">
        <v>258</v>
      </c>
      <c r="O419">
        <v>0</v>
      </c>
      <c r="P419">
        <v>297</v>
      </c>
      <c r="Q419">
        <v>1.1399999999999999</v>
      </c>
      <c r="R419">
        <v>337</v>
      </c>
      <c r="S419">
        <v>7</v>
      </c>
      <c r="T419">
        <v>1</v>
      </c>
      <c r="U419">
        <v>1</v>
      </c>
      <c r="V419">
        <v>0</v>
      </c>
      <c r="W419">
        <v>7</v>
      </c>
      <c r="X419">
        <v>40</v>
      </c>
      <c r="Y419" t="s">
        <v>497</v>
      </c>
      <c r="Z419">
        <v>16</v>
      </c>
      <c r="AA419" t="s">
        <v>498</v>
      </c>
    </row>
    <row r="420" spans="1:27" x14ac:dyDescent="0.25">
      <c r="A420" t="s">
        <v>462</v>
      </c>
      <c r="B420" s="1">
        <v>46062</v>
      </c>
      <c r="C420" s="2">
        <v>0.65833333333333333</v>
      </c>
      <c r="D420" t="s">
        <v>38</v>
      </c>
      <c r="E420" t="s">
        <v>39</v>
      </c>
      <c r="F420" t="s">
        <v>45</v>
      </c>
      <c r="G420" t="s">
        <v>406</v>
      </c>
      <c r="H420" t="s">
        <v>29</v>
      </c>
      <c r="I420" t="s">
        <v>36</v>
      </c>
      <c r="J420">
        <v>1</v>
      </c>
      <c r="K420">
        <v>104</v>
      </c>
      <c r="L420">
        <v>1</v>
      </c>
      <c r="M420">
        <v>127</v>
      </c>
      <c r="N420">
        <v>109</v>
      </c>
      <c r="O420">
        <v>0</v>
      </c>
      <c r="P420">
        <v>6932</v>
      </c>
      <c r="Q420">
        <v>1.21</v>
      </c>
      <c r="R420">
        <v>8365</v>
      </c>
      <c r="S420">
        <v>126</v>
      </c>
      <c r="T420">
        <v>51</v>
      </c>
      <c r="U420">
        <v>50</v>
      </c>
      <c r="V420">
        <v>0</v>
      </c>
      <c r="W420">
        <v>166</v>
      </c>
      <c r="X420">
        <v>10</v>
      </c>
      <c r="Y420" t="s">
        <v>497</v>
      </c>
      <c r="Z420">
        <v>393</v>
      </c>
      <c r="AA420" t="s">
        <v>498</v>
      </c>
    </row>
    <row r="421" spans="1:27" x14ac:dyDescent="0.25">
      <c r="A421" t="s">
        <v>463</v>
      </c>
      <c r="B421" s="1">
        <v>46062</v>
      </c>
      <c r="C421" s="2">
        <v>0.93055555555555558</v>
      </c>
      <c r="D421" t="s">
        <v>35</v>
      </c>
      <c r="E421" t="s">
        <v>39</v>
      </c>
      <c r="F421" t="s">
        <v>42</v>
      </c>
      <c r="G421" t="s">
        <v>406</v>
      </c>
      <c r="H421" t="s">
        <v>29</v>
      </c>
      <c r="I421" t="s">
        <v>29</v>
      </c>
      <c r="J421">
        <v>1</v>
      </c>
      <c r="K421">
        <v>0</v>
      </c>
      <c r="L421">
        <v>1</v>
      </c>
      <c r="M421">
        <v>270</v>
      </c>
      <c r="N421">
        <v>89</v>
      </c>
      <c r="O421">
        <v>0</v>
      </c>
      <c r="P421">
        <v>4182</v>
      </c>
      <c r="Q421">
        <v>1</v>
      </c>
      <c r="R421">
        <v>4182</v>
      </c>
      <c r="S421">
        <v>75</v>
      </c>
      <c r="T421">
        <v>24</v>
      </c>
      <c r="U421">
        <v>36</v>
      </c>
      <c r="V421">
        <v>0</v>
      </c>
      <c r="W421">
        <v>0</v>
      </c>
      <c r="X421">
        <v>5</v>
      </c>
      <c r="Y421" t="s">
        <v>499</v>
      </c>
      <c r="Z421">
        <v>135</v>
      </c>
      <c r="AA421" t="s">
        <v>498</v>
      </c>
    </row>
    <row r="422" spans="1:27" x14ac:dyDescent="0.25">
      <c r="A422" t="s">
        <v>464</v>
      </c>
      <c r="B422" s="1">
        <v>46063</v>
      </c>
      <c r="C422" s="2">
        <v>0.26458333333333334</v>
      </c>
      <c r="D422" t="s">
        <v>31</v>
      </c>
      <c r="E422" t="s">
        <v>48</v>
      </c>
      <c r="F422" t="s">
        <v>45</v>
      </c>
      <c r="G422" t="s">
        <v>406</v>
      </c>
      <c r="H422" t="s">
        <v>36</v>
      </c>
      <c r="I422" t="s">
        <v>29</v>
      </c>
      <c r="J422">
        <v>3</v>
      </c>
      <c r="K422">
        <v>164</v>
      </c>
      <c r="L422">
        <v>1</v>
      </c>
      <c r="M422">
        <v>161</v>
      </c>
      <c r="N422">
        <v>101</v>
      </c>
      <c r="O422">
        <v>293</v>
      </c>
      <c r="P422">
        <v>19156</v>
      </c>
      <c r="Q422">
        <v>1.73</v>
      </c>
      <c r="R422">
        <v>33218</v>
      </c>
      <c r="S422">
        <v>478</v>
      </c>
      <c r="T422">
        <v>125</v>
      </c>
      <c r="U422">
        <v>149</v>
      </c>
      <c r="V422">
        <v>38</v>
      </c>
      <c r="W422">
        <v>0</v>
      </c>
      <c r="X422">
        <v>5</v>
      </c>
      <c r="Y422" t="s">
        <v>497</v>
      </c>
      <c r="Z422">
        <v>790</v>
      </c>
      <c r="AA422" t="s">
        <v>498</v>
      </c>
    </row>
    <row r="423" spans="1:27" x14ac:dyDescent="0.25">
      <c r="A423" t="s">
        <v>465</v>
      </c>
      <c r="B423" s="1">
        <v>46063</v>
      </c>
      <c r="C423" s="2">
        <v>0.94374999999999998</v>
      </c>
      <c r="D423" t="s">
        <v>35</v>
      </c>
      <c r="E423" t="s">
        <v>32</v>
      </c>
      <c r="F423" t="s">
        <v>33</v>
      </c>
      <c r="G423" t="s">
        <v>406</v>
      </c>
      <c r="H423" t="s">
        <v>29</v>
      </c>
      <c r="I423" t="s">
        <v>29</v>
      </c>
      <c r="J423">
        <v>10</v>
      </c>
      <c r="K423">
        <v>0</v>
      </c>
      <c r="L423">
        <v>8</v>
      </c>
      <c r="M423">
        <v>226</v>
      </c>
      <c r="N423">
        <v>179</v>
      </c>
      <c r="O423">
        <v>0</v>
      </c>
      <c r="P423">
        <v>9232</v>
      </c>
      <c r="Q423">
        <v>1</v>
      </c>
      <c r="R423">
        <v>9232</v>
      </c>
      <c r="S423">
        <v>408</v>
      </c>
      <c r="T423">
        <v>65</v>
      </c>
      <c r="U423">
        <v>79</v>
      </c>
      <c r="V423">
        <v>47</v>
      </c>
      <c r="W423">
        <v>0</v>
      </c>
      <c r="X423">
        <v>17</v>
      </c>
      <c r="Y423" t="s">
        <v>497</v>
      </c>
      <c r="Z423">
        <v>599</v>
      </c>
      <c r="AA423" t="s">
        <v>498</v>
      </c>
    </row>
    <row r="424" spans="1:27" x14ac:dyDescent="0.25">
      <c r="A424" t="s">
        <v>466</v>
      </c>
      <c r="B424" s="1">
        <v>46064</v>
      </c>
      <c r="C424" s="2">
        <v>0.30833333333333335</v>
      </c>
      <c r="D424" t="s">
        <v>31</v>
      </c>
      <c r="E424" t="s">
        <v>39</v>
      </c>
      <c r="F424" t="s">
        <v>27</v>
      </c>
      <c r="G424" t="s">
        <v>406</v>
      </c>
      <c r="H424" t="s">
        <v>29</v>
      </c>
      <c r="I424" t="s">
        <v>29</v>
      </c>
      <c r="J424">
        <v>1</v>
      </c>
      <c r="K424">
        <v>0</v>
      </c>
      <c r="L424">
        <v>1</v>
      </c>
      <c r="M424">
        <v>249</v>
      </c>
      <c r="N424">
        <v>223</v>
      </c>
      <c r="O424">
        <v>0</v>
      </c>
      <c r="P424">
        <v>4257</v>
      </c>
      <c r="Q424">
        <v>1.1200000000000001</v>
      </c>
      <c r="R424">
        <v>4769</v>
      </c>
      <c r="S424">
        <v>62</v>
      </c>
      <c r="T424">
        <v>21</v>
      </c>
      <c r="U424">
        <v>25</v>
      </c>
      <c r="V424">
        <v>0</v>
      </c>
      <c r="W424">
        <v>0</v>
      </c>
      <c r="X424">
        <v>6</v>
      </c>
      <c r="Y424" t="s">
        <v>497</v>
      </c>
      <c r="Z424">
        <v>108</v>
      </c>
      <c r="AA424" t="s">
        <v>498</v>
      </c>
    </row>
    <row r="425" spans="1:27" x14ac:dyDescent="0.25">
      <c r="A425" t="s">
        <v>467</v>
      </c>
      <c r="B425" s="1">
        <v>46064</v>
      </c>
      <c r="C425" s="2">
        <v>0.78402777777777777</v>
      </c>
      <c r="D425" t="s">
        <v>38</v>
      </c>
      <c r="E425" t="s">
        <v>26</v>
      </c>
      <c r="F425" t="s">
        <v>45</v>
      </c>
      <c r="G425" t="s">
        <v>406</v>
      </c>
      <c r="H425" t="s">
        <v>29</v>
      </c>
      <c r="I425" t="s">
        <v>29</v>
      </c>
      <c r="J425">
        <v>4</v>
      </c>
      <c r="K425">
        <v>45</v>
      </c>
      <c r="L425">
        <v>1</v>
      </c>
      <c r="M425">
        <v>174</v>
      </c>
      <c r="N425">
        <v>138</v>
      </c>
      <c r="O425">
        <v>0</v>
      </c>
      <c r="P425">
        <v>3988</v>
      </c>
      <c r="Q425">
        <v>1</v>
      </c>
      <c r="R425">
        <v>3988</v>
      </c>
      <c r="S425">
        <v>223</v>
      </c>
      <c r="T425">
        <v>36</v>
      </c>
      <c r="U425">
        <v>53</v>
      </c>
      <c r="V425">
        <v>7</v>
      </c>
      <c r="W425">
        <v>0</v>
      </c>
      <c r="X425">
        <v>3</v>
      </c>
      <c r="Y425" t="s">
        <v>497</v>
      </c>
      <c r="Z425">
        <v>319</v>
      </c>
      <c r="AA425" t="s">
        <v>498</v>
      </c>
    </row>
    <row r="426" spans="1:27" x14ac:dyDescent="0.25">
      <c r="A426" t="s">
        <v>468</v>
      </c>
      <c r="B426" s="1">
        <v>46064</v>
      </c>
      <c r="C426" s="2">
        <v>0.85624999999999996</v>
      </c>
      <c r="D426" t="s">
        <v>35</v>
      </c>
      <c r="E426" t="s">
        <v>39</v>
      </c>
      <c r="F426" t="s">
        <v>33</v>
      </c>
      <c r="G426" t="s">
        <v>406</v>
      </c>
      <c r="H426" t="s">
        <v>36</v>
      </c>
      <c r="I426" t="s">
        <v>36</v>
      </c>
      <c r="J426">
        <v>4</v>
      </c>
      <c r="K426">
        <v>0</v>
      </c>
      <c r="L426">
        <v>8</v>
      </c>
      <c r="M426">
        <v>137</v>
      </c>
      <c r="N426">
        <v>204</v>
      </c>
      <c r="O426">
        <v>285</v>
      </c>
      <c r="P426">
        <v>18949</v>
      </c>
      <c r="Q426">
        <v>1.56</v>
      </c>
      <c r="R426">
        <v>29539</v>
      </c>
      <c r="S426">
        <v>257</v>
      </c>
      <c r="T426">
        <v>105</v>
      </c>
      <c r="U426">
        <v>137</v>
      </c>
      <c r="V426">
        <v>0</v>
      </c>
      <c r="W426">
        <v>927</v>
      </c>
      <c r="X426">
        <v>12</v>
      </c>
      <c r="Y426" t="s">
        <v>497</v>
      </c>
      <c r="Z426">
        <v>1426</v>
      </c>
      <c r="AA426" t="s">
        <v>498</v>
      </c>
    </row>
    <row r="427" spans="1:27" x14ac:dyDescent="0.25">
      <c r="A427" t="s">
        <v>469</v>
      </c>
      <c r="B427" s="1">
        <v>46064</v>
      </c>
      <c r="C427" s="2">
        <v>0.86597222222222225</v>
      </c>
      <c r="D427" t="s">
        <v>35</v>
      </c>
      <c r="E427" t="s">
        <v>26</v>
      </c>
      <c r="F427" t="s">
        <v>42</v>
      </c>
      <c r="G427" t="s">
        <v>406</v>
      </c>
      <c r="H427" t="s">
        <v>36</v>
      </c>
      <c r="I427" t="s">
        <v>36</v>
      </c>
      <c r="J427">
        <v>8</v>
      </c>
      <c r="K427">
        <v>0</v>
      </c>
      <c r="L427">
        <v>1</v>
      </c>
      <c r="M427">
        <v>159</v>
      </c>
      <c r="N427">
        <v>116</v>
      </c>
      <c r="O427">
        <v>346</v>
      </c>
      <c r="P427">
        <v>52252</v>
      </c>
      <c r="Q427">
        <v>1.51</v>
      </c>
      <c r="R427">
        <v>79017</v>
      </c>
      <c r="S427">
        <v>249</v>
      </c>
      <c r="T427">
        <v>41</v>
      </c>
      <c r="U427">
        <v>79</v>
      </c>
      <c r="V427">
        <v>8</v>
      </c>
      <c r="W427">
        <v>898</v>
      </c>
      <c r="X427">
        <v>26</v>
      </c>
      <c r="Y427" t="s">
        <v>497</v>
      </c>
      <c r="Z427">
        <v>1275</v>
      </c>
      <c r="AA427" t="s">
        <v>498</v>
      </c>
    </row>
    <row r="428" spans="1:27" x14ac:dyDescent="0.25">
      <c r="A428" t="s">
        <v>470</v>
      </c>
      <c r="B428" s="1">
        <v>46065</v>
      </c>
      <c r="C428" s="2">
        <v>0.81597222222222221</v>
      </c>
      <c r="D428" t="s">
        <v>35</v>
      </c>
      <c r="E428" t="s">
        <v>48</v>
      </c>
      <c r="F428" t="s">
        <v>45</v>
      </c>
      <c r="G428" t="s">
        <v>406</v>
      </c>
      <c r="H428" t="s">
        <v>29</v>
      </c>
      <c r="I428" t="s">
        <v>29</v>
      </c>
      <c r="J428">
        <v>5</v>
      </c>
      <c r="K428">
        <v>152</v>
      </c>
      <c r="L428">
        <v>1</v>
      </c>
      <c r="M428">
        <v>101</v>
      </c>
      <c r="N428">
        <v>208</v>
      </c>
      <c r="O428">
        <v>0</v>
      </c>
      <c r="P428">
        <v>11194</v>
      </c>
      <c r="Q428">
        <v>1.18</v>
      </c>
      <c r="R428">
        <v>13153</v>
      </c>
      <c r="S428">
        <v>162</v>
      </c>
      <c r="T428">
        <v>33</v>
      </c>
      <c r="U428">
        <v>51</v>
      </c>
      <c r="V428">
        <v>12</v>
      </c>
      <c r="W428">
        <v>0</v>
      </c>
      <c r="X428">
        <v>3</v>
      </c>
      <c r="Y428" t="s">
        <v>497</v>
      </c>
      <c r="Z428">
        <v>258</v>
      </c>
      <c r="AA428" t="s">
        <v>498</v>
      </c>
    </row>
    <row r="429" spans="1:27" x14ac:dyDescent="0.25">
      <c r="A429" t="s">
        <v>471</v>
      </c>
      <c r="B429" s="1">
        <v>46067</v>
      </c>
      <c r="C429" s="2">
        <v>0.70208333333333328</v>
      </c>
      <c r="D429" t="s">
        <v>38</v>
      </c>
      <c r="E429" t="s">
        <v>32</v>
      </c>
      <c r="F429" t="s">
        <v>33</v>
      </c>
      <c r="G429" t="s">
        <v>406</v>
      </c>
      <c r="H429" t="s">
        <v>29</v>
      </c>
      <c r="I429" t="s">
        <v>36</v>
      </c>
      <c r="J429">
        <v>8</v>
      </c>
      <c r="K429">
        <v>0</v>
      </c>
      <c r="L429">
        <v>3</v>
      </c>
      <c r="M429">
        <v>151</v>
      </c>
      <c r="N429">
        <v>88</v>
      </c>
      <c r="O429">
        <v>0</v>
      </c>
      <c r="P429">
        <v>7391</v>
      </c>
      <c r="Q429">
        <v>1.23</v>
      </c>
      <c r="R429">
        <v>9106</v>
      </c>
      <c r="S429">
        <v>296</v>
      </c>
      <c r="T429">
        <v>61</v>
      </c>
      <c r="U429">
        <v>69</v>
      </c>
      <c r="V429">
        <v>32</v>
      </c>
      <c r="W429">
        <v>277</v>
      </c>
      <c r="X429">
        <v>10</v>
      </c>
      <c r="Y429" t="s">
        <v>497</v>
      </c>
      <c r="Z429">
        <v>735</v>
      </c>
      <c r="AA429" t="s">
        <v>498</v>
      </c>
    </row>
    <row r="430" spans="1:27" x14ac:dyDescent="0.25">
      <c r="A430" t="s">
        <v>472</v>
      </c>
      <c r="B430" s="1">
        <v>46069</v>
      </c>
      <c r="C430" s="2">
        <v>0.4375</v>
      </c>
      <c r="D430" t="s">
        <v>31</v>
      </c>
      <c r="E430" t="s">
        <v>39</v>
      </c>
      <c r="F430" t="s">
        <v>45</v>
      </c>
      <c r="G430" t="s">
        <v>406</v>
      </c>
      <c r="H430" t="s">
        <v>36</v>
      </c>
      <c r="I430" t="s">
        <v>29</v>
      </c>
      <c r="J430">
        <v>1</v>
      </c>
      <c r="K430">
        <v>115</v>
      </c>
      <c r="L430">
        <v>1</v>
      </c>
      <c r="M430">
        <v>89</v>
      </c>
      <c r="N430">
        <v>205</v>
      </c>
      <c r="O430">
        <v>247</v>
      </c>
      <c r="P430">
        <v>20490</v>
      </c>
      <c r="Q430">
        <v>1.28</v>
      </c>
      <c r="R430">
        <v>26254</v>
      </c>
      <c r="S430">
        <v>164</v>
      </c>
      <c r="T430">
        <v>59</v>
      </c>
      <c r="U430">
        <v>76</v>
      </c>
      <c r="V430">
        <v>0</v>
      </c>
      <c r="W430">
        <v>0</v>
      </c>
      <c r="X430">
        <v>3</v>
      </c>
      <c r="Y430" t="s">
        <v>501</v>
      </c>
      <c r="Z430">
        <v>299</v>
      </c>
      <c r="AA430" t="s">
        <v>498</v>
      </c>
    </row>
    <row r="431" spans="1:27" x14ac:dyDescent="0.25">
      <c r="A431" t="s">
        <v>473</v>
      </c>
      <c r="B431" s="1">
        <v>46069</v>
      </c>
      <c r="C431" s="2">
        <v>0.51111111111111107</v>
      </c>
      <c r="D431" t="s">
        <v>25</v>
      </c>
      <c r="E431" t="s">
        <v>48</v>
      </c>
      <c r="F431" t="s">
        <v>27</v>
      </c>
      <c r="G431" t="s">
        <v>406</v>
      </c>
      <c r="H431" t="s">
        <v>29</v>
      </c>
      <c r="I431" t="s">
        <v>36</v>
      </c>
      <c r="J431">
        <v>5</v>
      </c>
      <c r="K431">
        <v>0</v>
      </c>
      <c r="L431">
        <v>1</v>
      </c>
      <c r="M431">
        <v>128</v>
      </c>
      <c r="N431">
        <v>122</v>
      </c>
      <c r="O431">
        <v>0</v>
      </c>
      <c r="P431">
        <v>4550</v>
      </c>
      <c r="Q431">
        <v>1.1599999999999999</v>
      </c>
      <c r="R431">
        <v>5296</v>
      </c>
      <c r="S431">
        <v>42</v>
      </c>
      <c r="T431">
        <v>11</v>
      </c>
      <c r="U431">
        <v>14</v>
      </c>
      <c r="V431">
        <v>3</v>
      </c>
      <c r="W431">
        <v>84</v>
      </c>
      <c r="X431">
        <v>5</v>
      </c>
      <c r="Y431" t="s">
        <v>497</v>
      </c>
      <c r="Z431">
        <v>154</v>
      </c>
      <c r="AA431" t="s">
        <v>498</v>
      </c>
    </row>
    <row r="432" spans="1:27" x14ac:dyDescent="0.25">
      <c r="A432" t="s">
        <v>474</v>
      </c>
      <c r="B432" s="1">
        <v>46069</v>
      </c>
      <c r="C432" s="2">
        <v>0.74236111111111114</v>
      </c>
      <c r="D432" t="s">
        <v>38</v>
      </c>
      <c r="E432" t="s">
        <v>32</v>
      </c>
      <c r="F432" t="s">
        <v>45</v>
      </c>
      <c r="G432" t="s">
        <v>406</v>
      </c>
      <c r="H432" t="s">
        <v>36</v>
      </c>
      <c r="I432" t="s">
        <v>29</v>
      </c>
      <c r="J432">
        <v>15</v>
      </c>
      <c r="K432">
        <v>22</v>
      </c>
      <c r="L432">
        <v>1</v>
      </c>
      <c r="M432">
        <v>65</v>
      </c>
      <c r="N432">
        <v>238</v>
      </c>
      <c r="O432">
        <v>242</v>
      </c>
      <c r="P432">
        <v>53984</v>
      </c>
      <c r="Q432">
        <v>1.64</v>
      </c>
      <c r="R432">
        <v>88771</v>
      </c>
      <c r="S432">
        <v>1581</v>
      </c>
      <c r="T432">
        <v>352</v>
      </c>
      <c r="U432">
        <v>418</v>
      </c>
      <c r="V432">
        <v>221</v>
      </c>
      <c r="W432">
        <v>0</v>
      </c>
      <c r="X432">
        <v>46</v>
      </c>
      <c r="Y432" t="s">
        <v>501</v>
      </c>
      <c r="Z432">
        <v>2572</v>
      </c>
      <c r="AA432" t="s">
        <v>498</v>
      </c>
    </row>
    <row r="433" spans="1:27" x14ac:dyDescent="0.25">
      <c r="A433" t="s">
        <v>475</v>
      </c>
      <c r="B433" s="1">
        <v>46070</v>
      </c>
      <c r="C433" s="2">
        <v>0.48472222222222222</v>
      </c>
      <c r="D433" t="s">
        <v>25</v>
      </c>
      <c r="E433" t="s">
        <v>32</v>
      </c>
      <c r="F433" t="s">
        <v>33</v>
      </c>
      <c r="G433" t="s">
        <v>406</v>
      </c>
      <c r="H433" t="s">
        <v>29</v>
      </c>
      <c r="I433" t="s">
        <v>29</v>
      </c>
      <c r="J433">
        <v>10</v>
      </c>
      <c r="K433">
        <v>0</v>
      </c>
      <c r="L433">
        <v>6</v>
      </c>
      <c r="M433">
        <v>151</v>
      </c>
      <c r="N433">
        <v>77</v>
      </c>
      <c r="O433">
        <v>0</v>
      </c>
      <c r="P433">
        <v>34301</v>
      </c>
      <c r="Q433">
        <v>1.0900000000000001</v>
      </c>
      <c r="R433">
        <v>37224</v>
      </c>
      <c r="S433">
        <v>1426</v>
      </c>
      <c r="T433">
        <v>260</v>
      </c>
      <c r="U433">
        <v>268</v>
      </c>
      <c r="V433">
        <v>187</v>
      </c>
      <c r="W433">
        <v>0</v>
      </c>
      <c r="X433">
        <v>13</v>
      </c>
      <c r="Y433" t="s">
        <v>497</v>
      </c>
      <c r="Z433">
        <v>2141</v>
      </c>
      <c r="AA433" t="s">
        <v>498</v>
      </c>
    </row>
    <row r="434" spans="1:27" x14ac:dyDescent="0.25">
      <c r="A434" t="s">
        <v>476</v>
      </c>
      <c r="B434" s="1">
        <v>46071</v>
      </c>
      <c r="C434" s="2">
        <v>0.76666666666666672</v>
      </c>
      <c r="D434" t="s">
        <v>38</v>
      </c>
      <c r="E434" t="s">
        <v>26</v>
      </c>
      <c r="F434" t="s">
        <v>33</v>
      </c>
      <c r="G434" t="s">
        <v>406</v>
      </c>
      <c r="H434" t="s">
        <v>29</v>
      </c>
      <c r="I434" t="s">
        <v>29</v>
      </c>
      <c r="J434">
        <v>3</v>
      </c>
      <c r="K434">
        <v>0</v>
      </c>
      <c r="L434">
        <v>3</v>
      </c>
      <c r="M434">
        <v>290</v>
      </c>
      <c r="N434">
        <v>158</v>
      </c>
      <c r="O434">
        <v>0</v>
      </c>
      <c r="P434">
        <v>1736</v>
      </c>
      <c r="Q434">
        <v>1.27</v>
      </c>
      <c r="R434">
        <v>2197</v>
      </c>
      <c r="S434">
        <v>58</v>
      </c>
      <c r="T434">
        <v>7</v>
      </c>
      <c r="U434">
        <v>12</v>
      </c>
      <c r="V434">
        <v>1</v>
      </c>
      <c r="W434">
        <v>0</v>
      </c>
      <c r="X434">
        <v>22</v>
      </c>
      <c r="Y434" t="s">
        <v>499</v>
      </c>
      <c r="Z434">
        <v>78</v>
      </c>
      <c r="AA434" t="s">
        <v>498</v>
      </c>
    </row>
    <row r="435" spans="1:27" x14ac:dyDescent="0.25">
      <c r="A435" t="s">
        <v>477</v>
      </c>
      <c r="B435" s="1">
        <v>46072</v>
      </c>
      <c r="C435" s="2">
        <v>0.4597222222222222</v>
      </c>
      <c r="D435" t="s">
        <v>25</v>
      </c>
      <c r="E435" t="s">
        <v>26</v>
      </c>
      <c r="F435" t="s">
        <v>45</v>
      </c>
      <c r="G435" t="s">
        <v>406</v>
      </c>
      <c r="H435" t="s">
        <v>29</v>
      </c>
      <c r="I435" t="s">
        <v>29</v>
      </c>
      <c r="J435">
        <v>4</v>
      </c>
      <c r="K435">
        <v>48</v>
      </c>
      <c r="L435">
        <v>1</v>
      </c>
      <c r="M435">
        <v>155</v>
      </c>
      <c r="N435">
        <v>156</v>
      </c>
      <c r="O435">
        <v>0</v>
      </c>
      <c r="P435">
        <v>19797</v>
      </c>
      <c r="Q435">
        <v>1.27</v>
      </c>
      <c r="R435">
        <v>25234</v>
      </c>
      <c r="S435">
        <v>2070</v>
      </c>
      <c r="T435">
        <v>285</v>
      </c>
      <c r="U435">
        <v>457</v>
      </c>
      <c r="V435">
        <v>61</v>
      </c>
      <c r="W435">
        <v>0</v>
      </c>
      <c r="X435">
        <v>6</v>
      </c>
      <c r="Y435" t="s">
        <v>497</v>
      </c>
      <c r="Z435">
        <v>2873</v>
      </c>
      <c r="AA435" t="s">
        <v>498</v>
      </c>
    </row>
    <row r="436" spans="1:27" x14ac:dyDescent="0.25">
      <c r="A436" t="s">
        <v>478</v>
      </c>
      <c r="B436" s="1">
        <v>46073</v>
      </c>
      <c r="C436" s="2">
        <v>0.65416666666666667</v>
      </c>
      <c r="D436" t="s">
        <v>38</v>
      </c>
      <c r="E436" t="s">
        <v>26</v>
      </c>
      <c r="F436" t="s">
        <v>45</v>
      </c>
      <c r="G436" t="s">
        <v>406</v>
      </c>
      <c r="H436" t="s">
        <v>29</v>
      </c>
      <c r="I436" t="s">
        <v>29</v>
      </c>
      <c r="J436">
        <v>7</v>
      </c>
      <c r="K436">
        <v>18</v>
      </c>
      <c r="L436">
        <v>1</v>
      </c>
      <c r="M436">
        <v>149</v>
      </c>
      <c r="N436">
        <v>355</v>
      </c>
      <c r="O436">
        <v>0</v>
      </c>
      <c r="P436">
        <v>14186</v>
      </c>
      <c r="Q436">
        <v>1.48</v>
      </c>
      <c r="R436">
        <v>21006</v>
      </c>
      <c r="S436">
        <v>891</v>
      </c>
      <c r="T436">
        <v>119</v>
      </c>
      <c r="U436">
        <v>194</v>
      </c>
      <c r="V436">
        <v>22</v>
      </c>
      <c r="W436">
        <v>0</v>
      </c>
      <c r="X436">
        <v>35</v>
      </c>
      <c r="Y436" t="s">
        <v>497</v>
      </c>
      <c r="Z436">
        <v>1226</v>
      </c>
      <c r="AA436" t="s">
        <v>498</v>
      </c>
    </row>
    <row r="437" spans="1:27" x14ac:dyDescent="0.25">
      <c r="A437" t="s">
        <v>479</v>
      </c>
      <c r="B437" s="1">
        <v>46073</v>
      </c>
      <c r="C437" s="2">
        <v>0.77847222222222223</v>
      </c>
      <c r="D437" t="s">
        <v>38</v>
      </c>
      <c r="E437" t="s">
        <v>32</v>
      </c>
      <c r="F437" t="s">
        <v>27</v>
      </c>
      <c r="G437" t="s">
        <v>406</v>
      </c>
      <c r="H437" t="s">
        <v>36</v>
      </c>
      <c r="I437" t="s">
        <v>36</v>
      </c>
      <c r="J437">
        <v>7</v>
      </c>
      <c r="K437">
        <v>0</v>
      </c>
      <c r="L437">
        <v>1</v>
      </c>
      <c r="M437">
        <v>130</v>
      </c>
      <c r="N437">
        <v>174</v>
      </c>
      <c r="O437">
        <v>270</v>
      </c>
      <c r="P437">
        <v>36699</v>
      </c>
      <c r="Q437">
        <v>1.47</v>
      </c>
      <c r="R437">
        <v>54122</v>
      </c>
      <c r="S437">
        <v>1931</v>
      </c>
      <c r="T437">
        <v>330</v>
      </c>
      <c r="U437">
        <v>430</v>
      </c>
      <c r="V437">
        <v>273</v>
      </c>
      <c r="W437">
        <v>926</v>
      </c>
      <c r="X437">
        <v>11</v>
      </c>
      <c r="Y437" t="s">
        <v>497</v>
      </c>
      <c r="Z437">
        <v>3890</v>
      </c>
      <c r="AA437" t="s">
        <v>498</v>
      </c>
    </row>
    <row r="438" spans="1:27" x14ac:dyDescent="0.25">
      <c r="A438" t="s">
        <v>480</v>
      </c>
      <c r="B438" s="1">
        <v>46073</v>
      </c>
      <c r="C438" s="2">
        <v>0.94236111111111109</v>
      </c>
      <c r="D438" t="s">
        <v>35</v>
      </c>
      <c r="E438" t="s">
        <v>39</v>
      </c>
      <c r="F438" t="s">
        <v>45</v>
      </c>
      <c r="G438" t="s">
        <v>406</v>
      </c>
      <c r="H438" t="s">
        <v>29</v>
      </c>
      <c r="I438" t="s">
        <v>36</v>
      </c>
      <c r="J438">
        <v>4</v>
      </c>
      <c r="K438">
        <v>134</v>
      </c>
      <c r="L438">
        <v>1</v>
      </c>
      <c r="M438">
        <v>121</v>
      </c>
      <c r="N438">
        <v>129</v>
      </c>
      <c r="O438">
        <v>0</v>
      </c>
      <c r="P438">
        <v>7291</v>
      </c>
      <c r="Q438">
        <v>1.24</v>
      </c>
      <c r="R438">
        <v>9013</v>
      </c>
      <c r="S438">
        <v>175</v>
      </c>
      <c r="T438">
        <v>59</v>
      </c>
      <c r="U438">
        <v>77</v>
      </c>
      <c r="V438">
        <v>0</v>
      </c>
      <c r="W438">
        <v>290</v>
      </c>
      <c r="X438">
        <v>8</v>
      </c>
      <c r="Y438" t="s">
        <v>497</v>
      </c>
      <c r="Z438">
        <v>601</v>
      </c>
      <c r="AA438" t="s">
        <v>498</v>
      </c>
    </row>
    <row r="439" spans="1:27" x14ac:dyDescent="0.25">
      <c r="A439" t="s">
        <v>481</v>
      </c>
      <c r="B439" s="1">
        <v>46074</v>
      </c>
      <c r="C439" s="2">
        <v>0.43680555555555556</v>
      </c>
      <c r="D439" t="s">
        <v>31</v>
      </c>
      <c r="E439" t="s">
        <v>48</v>
      </c>
      <c r="F439" t="s">
        <v>45</v>
      </c>
      <c r="G439" t="s">
        <v>406</v>
      </c>
      <c r="H439" t="s">
        <v>36</v>
      </c>
      <c r="I439" t="s">
        <v>29</v>
      </c>
      <c r="J439">
        <v>3</v>
      </c>
      <c r="K439">
        <v>33</v>
      </c>
      <c r="L439">
        <v>1</v>
      </c>
      <c r="M439">
        <v>79</v>
      </c>
      <c r="N439">
        <v>126</v>
      </c>
      <c r="O439">
        <v>362</v>
      </c>
      <c r="P439">
        <v>25542</v>
      </c>
      <c r="Q439">
        <v>1.32</v>
      </c>
      <c r="R439">
        <v>33697</v>
      </c>
      <c r="S439">
        <v>660</v>
      </c>
      <c r="T439">
        <v>153</v>
      </c>
      <c r="U439">
        <v>184</v>
      </c>
      <c r="V439">
        <v>49</v>
      </c>
      <c r="W439">
        <v>0</v>
      </c>
      <c r="X439">
        <v>6</v>
      </c>
      <c r="Y439" t="s">
        <v>501</v>
      </c>
      <c r="Z439">
        <v>1046</v>
      </c>
      <c r="AA439" t="s">
        <v>498</v>
      </c>
    </row>
    <row r="440" spans="1:27" x14ac:dyDescent="0.25">
      <c r="A440" t="s">
        <v>482</v>
      </c>
      <c r="B440" s="1">
        <v>46074</v>
      </c>
      <c r="C440" s="2">
        <v>0.83402777777777781</v>
      </c>
      <c r="D440" t="s">
        <v>35</v>
      </c>
      <c r="E440" t="s">
        <v>39</v>
      </c>
      <c r="F440" t="s">
        <v>42</v>
      </c>
      <c r="G440" t="s">
        <v>406</v>
      </c>
      <c r="H440" t="s">
        <v>36</v>
      </c>
      <c r="I440" t="s">
        <v>29</v>
      </c>
      <c r="J440">
        <v>2</v>
      </c>
      <c r="K440">
        <v>0</v>
      </c>
      <c r="L440">
        <v>1</v>
      </c>
      <c r="M440">
        <v>338</v>
      </c>
      <c r="N440">
        <v>104</v>
      </c>
      <c r="O440">
        <v>320</v>
      </c>
      <c r="P440">
        <v>27117</v>
      </c>
      <c r="Q440">
        <v>1.56</v>
      </c>
      <c r="R440">
        <v>42235</v>
      </c>
      <c r="S440">
        <v>664</v>
      </c>
      <c r="T440">
        <v>295</v>
      </c>
      <c r="U440">
        <v>366</v>
      </c>
      <c r="V440">
        <v>0</v>
      </c>
      <c r="W440">
        <v>0</v>
      </c>
      <c r="X440">
        <v>35</v>
      </c>
      <c r="Y440" t="s">
        <v>499</v>
      </c>
      <c r="Z440">
        <v>1325</v>
      </c>
      <c r="AA440" t="s">
        <v>498</v>
      </c>
    </row>
    <row r="441" spans="1:27" x14ac:dyDescent="0.25">
      <c r="A441" t="s">
        <v>483</v>
      </c>
      <c r="B441" s="1">
        <v>46075</v>
      </c>
      <c r="C441" s="2">
        <v>0.59513888888888888</v>
      </c>
      <c r="D441" t="s">
        <v>25</v>
      </c>
      <c r="E441" t="s">
        <v>32</v>
      </c>
      <c r="F441" t="s">
        <v>42</v>
      </c>
      <c r="G441" t="s">
        <v>406</v>
      </c>
      <c r="H441" t="s">
        <v>36</v>
      </c>
      <c r="I441" t="s">
        <v>29</v>
      </c>
      <c r="J441">
        <v>6</v>
      </c>
      <c r="K441">
        <v>0</v>
      </c>
      <c r="L441">
        <v>1</v>
      </c>
      <c r="M441">
        <v>229</v>
      </c>
      <c r="N441">
        <v>34</v>
      </c>
      <c r="O441">
        <v>415</v>
      </c>
      <c r="P441">
        <v>27921</v>
      </c>
      <c r="Q441">
        <v>1.89</v>
      </c>
      <c r="R441">
        <v>52837</v>
      </c>
      <c r="S441">
        <v>359</v>
      </c>
      <c r="T441">
        <v>55</v>
      </c>
      <c r="U441">
        <v>71</v>
      </c>
      <c r="V441">
        <v>37</v>
      </c>
      <c r="W441">
        <v>0</v>
      </c>
      <c r="X441">
        <v>7</v>
      </c>
      <c r="Y441" t="s">
        <v>497</v>
      </c>
      <c r="Z441">
        <v>522</v>
      </c>
      <c r="AA441" t="s">
        <v>498</v>
      </c>
    </row>
    <row r="442" spans="1:27" x14ac:dyDescent="0.25">
      <c r="A442" t="s">
        <v>484</v>
      </c>
      <c r="B442" s="1">
        <v>46076</v>
      </c>
      <c r="C442" s="2">
        <v>0.28749999999999998</v>
      </c>
      <c r="D442" t="s">
        <v>31</v>
      </c>
      <c r="E442" t="s">
        <v>26</v>
      </c>
      <c r="F442" t="s">
        <v>45</v>
      </c>
      <c r="G442" t="s">
        <v>406</v>
      </c>
      <c r="H442" t="s">
        <v>29</v>
      </c>
      <c r="I442" t="s">
        <v>36</v>
      </c>
      <c r="J442">
        <v>4</v>
      </c>
      <c r="K442">
        <v>29</v>
      </c>
      <c r="L442">
        <v>1</v>
      </c>
      <c r="M442">
        <v>56</v>
      </c>
      <c r="N442">
        <v>172</v>
      </c>
      <c r="O442">
        <v>0</v>
      </c>
      <c r="P442">
        <v>23527</v>
      </c>
      <c r="Q442">
        <v>1.17</v>
      </c>
      <c r="R442">
        <v>27593</v>
      </c>
      <c r="S442">
        <v>2553</v>
      </c>
      <c r="T442">
        <v>431</v>
      </c>
      <c r="U442">
        <v>686</v>
      </c>
      <c r="V442">
        <v>80</v>
      </c>
      <c r="W442">
        <v>764</v>
      </c>
      <c r="X442">
        <v>3</v>
      </c>
      <c r="Y442" t="s">
        <v>501</v>
      </c>
      <c r="Z442">
        <v>4514</v>
      </c>
      <c r="AA442" t="s">
        <v>498</v>
      </c>
    </row>
    <row r="443" spans="1:27" x14ac:dyDescent="0.25">
      <c r="A443" t="s">
        <v>485</v>
      </c>
      <c r="B443" s="1">
        <v>46077</v>
      </c>
      <c r="C443" s="2">
        <v>0.63402777777777775</v>
      </c>
      <c r="D443" t="s">
        <v>38</v>
      </c>
      <c r="E443" t="s">
        <v>48</v>
      </c>
      <c r="F443" t="s">
        <v>27</v>
      </c>
      <c r="G443" t="s">
        <v>406</v>
      </c>
      <c r="H443" t="s">
        <v>36</v>
      </c>
      <c r="I443" t="s">
        <v>36</v>
      </c>
      <c r="J443">
        <v>4</v>
      </c>
      <c r="K443">
        <v>0</v>
      </c>
      <c r="L443">
        <v>1</v>
      </c>
      <c r="M443">
        <v>181</v>
      </c>
      <c r="N443">
        <v>85</v>
      </c>
      <c r="O443">
        <v>148</v>
      </c>
      <c r="P443">
        <v>103115</v>
      </c>
      <c r="Q443">
        <v>1.71</v>
      </c>
      <c r="R443">
        <v>176834</v>
      </c>
      <c r="S443">
        <v>2142</v>
      </c>
      <c r="T443">
        <v>580</v>
      </c>
      <c r="U443">
        <v>666</v>
      </c>
      <c r="V443">
        <v>178</v>
      </c>
      <c r="W443">
        <v>4181</v>
      </c>
      <c r="X443">
        <v>49</v>
      </c>
      <c r="Y443" t="s">
        <v>497</v>
      </c>
      <c r="Z443">
        <v>7747</v>
      </c>
      <c r="AA443" t="s">
        <v>498</v>
      </c>
    </row>
    <row r="444" spans="1:27" x14ac:dyDescent="0.25">
      <c r="A444" t="s">
        <v>486</v>
      </c>
      <c r="B444" s="1">
        <v>46077</v>
      </c>
      <c r="C444" s="2">
        <v>0.66666666666666663</v>
      </c>
      <c r="D444" t="s">
        <v>38</v>
      </c>
      <c r="E444" t="s">
        <v>32</v>
      </c>
      <c r="F444" t="s">
        <v>33</v>
      </c>
      <c r="G444" t="s">
        <v>406</v>
      </c>
      <c r="H444" t="s">
        <v>29</v>
      </c>
      <c r="I444" t="s">
        <v>29</v>
      </c>
      <c r="J444">
        <v>14</v>
      </c>
      <c r="K444">
        <v>0</v>
      </c>
      <c r="L444">
        <v>10</v>
      </c>
      <c r="M444">
        <v>143</v>
      </c>
      <c r="N444">
        <v>153</v>
      </c>
      <c r="O444">
        <v>0</v>
      </c>
      <c r="P444">
        <v>7611</v>
      </c>
      <c r="Q444">
        <v>1.27</v>
      </c>
      <c r="R444">
        <v>9659</v>
      </c>
      <c r="S444">
        <v>231</v>
      </c>
      <c r="T444">
        <v>42</v>
      </c>
      <c r="U444">
        <v>44</v>
      </c>
      <c r="V444">
        <v>24</v>
      </c>
      <c r="W444">
        <v>0</v>
      </c>
      <c r="X444">
        <v>14</v>
      </c>
      <c r="Y444" t="s">
        <v>497</v>
      </c>
      <c r="Z444">
        <v>341</v>
      </c>
      <c r="AA444" t="s">
        <v>498</v>
      </c>
    </row>
    <row r="445" spans="1:27" x14ac:dyDescent="0.25">
      <c r="A445" t="s">
        <v>487</v>
      </c>
      <c r="B445" s="1">
        <v>46077</v>
      </c>
      <c r="C445" s="2">
        <v>0.81944444444444442</v>
      </c>
      <c r="D445" t="s">
        <v>35</v>
      </c>
      <c r="E445" t="s">
        <v>48</v>
      </c>
      <c r="F445" t="s">
        <v>45</v>
      </c>
      <c r="G445" t="s">
        <v>406</v>
      </c>
      <c r="H445" t="s">
        <v>29</v>
      </c>
      <c r="I445" t="s">
        <v>36</v>
      </c>
      <c r="J445">
        <v>3</v>
      </c>
      <c r="K445">
        <v>152</v>
      </c>
      <c r="L445">
        <v>1</v>
      </c>
      <c r="M445">
        <v>89</v>
      </c>
      <c r="N445">
        <v>329</v>
      </c>
      <c r="O445">
        <v>0</v>
      </c>
      <c r="P445">
        <v>5563</v>
      </c>
      <c r="Q445">
        <v>1.1399999999999999</v>
      </c>
      <c r="R445">
        <v>6354</v>
      </c>
      <c r="S445">
        <v>57</v>
      </c>
      <c r="T445">
        <v>14</v>
      </c>
      <c r="U445">
        <v>19</v>
      </c>
      <c r="V445">
        <v>4</v>
      </c>
      <c r="W445">
        <v>174</v>
      </c>
      <c r="X445">
        <v>7</v>
      </c>
      <c r="Y445" t="s">
        <v>501</v>
      </c>
      <c r="Z445">
        <v>268</v>
      </c>
      <c r="AA445" t="s">
        <v>498</v>
      </c>
    </row>
    <row r="446" spans="1:27" x14ac:dyDescent="0.25">
      <c r="A446" t="s">
        <v>488</v>
      </c>
      <c r="B446" s="1">
        <v>46078</v>
      </c>
      <c r="C446" s="2">
        <v>0.31597222222222221</v>
      </c>
      <c r="D446" t="s">
        <v>31</v>
      </c>
      <c r="E446" t="s">
        <v>26</v>
      </c>
      <c r="F446" t="s">
        <v>27</v>
      </c>
      <c r="G446" t="s">
        <v>406</v>
      </c>
      <c r="H446" t="s">
        <v>29</v>
      </c>
      <c r="I446" t="s">
        <v>36</v>
      </c>
      <c r="J446">
        <v>4</v>
      </c>
      <c r="K446">
        <v>0</v>
      </c>
      <c r="L446">
        <v>1</v>
      </c>
      <c r="M446">
        <v>197</v>
      </c>
      <c r="N446">
        <v>152</v>
      </c>
      <c r="O446">
        <v>0</v>
      </c>
      <c r="P446">
        <v>27791</v>
      </c>
      <c r="Q446">
        <v>1.03</v>
      </c>
      <c r="R446">
        <v>28528</v>
      </c>
      <c r="S446">
        <v>1174</v>
      </c>
      <c r="T446">
        <v>164</v>
      </c>
      <c r="U446">
        <v>306</v>
      </c>
      <c r="V446">
        <v>29</v>
      </c>
      <c r="W446">
        <v>565</v>
      </c>
      <c r="X446">
        <v>22</v>
      </c>
      <c r="Y446" t="s">
        <v>497</v>
      </c>
      <c r="Z446">
        <v>2238</v>
      </c>
      <c r="AA446" t="s">
        <v>498</v>
      </c>
    </row>
    <row r="447" spans="1:27" x14ac:dyDescent="0.25">
      <c r="A447" t="s">
        <v>489</v>
      </c>
      <c r="B447" s="1">
        <v>46078</v>
      </c>
      <c r="C447" s="2">
        <v>0.70416666666666672</v>
      </c>
      <c r="D447" t="s">
        <v>38</v>
      </c>
      <c r="E447" t="s">
        <v>39</v>
      </c>
      <c r="F447" t="s">
        <v>42</v>
      </c>
      <c r="G447" t="s">
        <v>406</v>
      </c>
      <c r="H447" t="s">
        <v>29</v>
      </c>
      <c r="I447" t="s">
        <v>36</v>
      </c>
      <c r="J447">
        <v>3</v>
      </c>
      <c r="K447">
        <v>0</v>
      </c>
      <c r="L447">
        <v>1</v>
      </c>
      <c r="M447">
        <v>294</v>
      </c>
      <c r="N447">
        <v>83</v>
      </c>
      <c r="O447">
        <v>0</v>
      </c>
      <c r="P447">
        <v>5405</v>
      </c>
      <c r="Q447">
        <v>1</v>
      </c>
      <c r="R447">
        <v>5405</v>
      </c>
      <c r="S447">
        <v>99</v>
      </c>
      <c r="T447">
        <v>37</v>
      </c>
      <c r="U447">
        <v>48</v>
      </c>
      <c r="V447">
        <v>0</v>
      </c>
      <c r="W447">
        <v>79</v>
      </c>
      <c r="X447">
        <v>14</v>
      </c>
      <c r="Y447" t="s">
        <v>499</v>
      </c>
      <c r="Z447">
        <v>263</v>
      </c>
      <c r="AA447" t="s">
        <v>498</v>
      </c>
    </row>
    <row r="448" spans="1:27" x14ac:dyDescent="0.25">
      <c r="A448" t="s">
        <v>490</v>
      </c>
      <c r="B448" s="1">
        <v>46080</v>
      </c>
      <c r="C448" s="2">
        <v>0.36180555555555555</v>
      </c>
      <c r="D448" t="s">
        <v>31</v>
      </c>
      <c r="E448" t="s">
        <v>32</v>
      </c>
      <c r="F448" t="s">
        <v>33</v>
      </c>
      <c r="G448" t="s">
        <v>406</v>
      </c>
      <c r="H448" t="s">
        <v>29</v>
      </c>
      <c r="I448" t="s">
        <v>29</v>
      </c>
      <c r="J448">
        <v>13</v>
      </c>
      <c r="K448">
        <v>0</v>
      </c>
      <c r="L448">
        <v>5</v>
      </c>
      <c r="M448">
        <v>241</v>
      </c>
      <c r="N448">
        <v>134</v>
      </c>
      <c r="O448">
        <v>0</v>
      </c>
      <c r="P448">
        <v>8173</v>
      </c>
      <c r="Q448">
        <v>1.1399999999999999</v>
      </c>
      <c r="R448">
        <v>9337</v>
      </c>
      <c r="S448">
        <v>261</v>
      </c>
      <c r="T448">
        <v>53</v>
      </c>
      <c r="U448">
        <v>63</v>
      </c>
      <c r="V448">
        <v>29</v>
      </c>
      <c r="W448">
        <v>0</v>
      </c>
      <c r="X448">
        <v>4</v>
      </c>
      <c r="Y448" t="s">
        <v>497</v>
      </c>
      <c r="Z448">
        <v>406</v>
      </c>
      <c r="AA448" t="s">
        <v>498</v>
      </c>
    </row>
    <row r="449" spans="1:27" x14ac:dyDescent="0.25">
      <c r="A449" t="s">
        <v>491</v>
      </c>
      <c r="B449" s="1">
        <v>46080</v>
      </c>
      <c r="C449" s="2">
        <v>0.52500000000000002</v>
      </c>
      <c r="D449" t="s">
        <v>25</v>
      </c>
      <c r="E449" t="s">
        <v>32</v>
      </c>
      <c r="F449" t="s">
        <v>33</v>
      </c>
      <c r="G449" t="s">
        <v>406</v>
      </c>
      <c r="H449" t="s">
        <v>36</v>
      </c>
      <c r="I449" t="s">
        <v>36</v>
      </c>
      <c r="J449">
        <v>8</v>
      </c>
      <c r="K449">
        <v>0</v>
      </c>
      <c r="L449">
        <v>6</v>
      </c>
      <c r="M449">
        <v>288</v>
      </c>
      <c r="N449">
        <v>90</v>
      </c>
      <c r="O449">
        <v>292</v>
      </c>
      <c r="P449">
        <v>13417</v>
      </c>
      <c r="Q449">
        <v>1.56</v>
      </c>
      <c r="R449">
        <v>20869</v>
      </c>
      <c r="S449">
        <v>737</v>
      </c>
      <c r="T449">
        <v>122</v>
      </c>
      <c r="U449">
        <v>181</v>
      </c>
      <c r="V449">
        <v>89</v>
      </c>
      <c r="W449">
        <v>468</v>
      </c>
      <c r="X449">
        <v>0</v>
      </c>
      <c r="Y449" t="s">
        <v>499</v>
      </c>
      <c r="Z449">
        <v>1597</v>
      </c>
      <c r="AA449" t="s">
        <v>498</v>
      </c>
    </row>
    <row r="450" spans="1:27" x14ac:dyDescent="0.25">
      <c r="A450" t="s">
        <v>492</v>
      </c>
      <c r="B450" s="1">
        <v>46080</v>
      </c>
      <c r="C450" s="2">
        <v>0.68888888888888888</v>
      </c>
      <c r="D450" t="s">
        <v>38</v>
      </c>
      <c r="E450" t="s">
        <v>26</v>
      </c>
      <c r="F450" t="s">
        <v>27</v>
      </c>
      <c r="G450" t="s">
        <v>406</v>
      </c>
      <c r="H450" t="s">
        <v>29</v>
      </c>
      <c r="I450" t="s">
        <v>29</v>
      </c>
      <c r="J450">
        <v>7</v>
      </c>
      <c r="K450">
        <v>0</v>
      </c>
      <c r="L450">
        <v>1</v>
      </c>
      <c r="M450">
        <v>202</v>
      </c>
      <c r="N450">
        <v>213</v>
      </c>
      <c r="O450">
        <v>0</v>
      </c>
      <c r="P450">
        <v>18017</v>
      </c>
      <c r="Q450">
        <v>1</v>
      </c>
      <c r="R450">
        <v>18017</v>
      </c>
      <c r="S450">
        <v>606</v>
      </c>
      <c r="T450">
        <v>95</v>
      </c>
      <c r="U450">
        <v>151</v>
      </c>
      <c r="V450">
        <v>14</v>
      </c>
      <c r="W450">
        <v>0</v>
      </c>
      <c r="X450">
        <v>27</v>
      </c>
      <c r="Y450" t="s">
        <v>497</v>
      </c>
      <c r="Z450">
        <v>866</v>
      </c>
      <c r="AA450" t="s">
        <v>498</v>
      </c>
    </row>
    <row r="451" spans="1:27" x14ac:dyDescent="0.25">
      <c r="A451" t="s">
        <v>493</v>
      </c>
      <c r="B451" s="1">
        <v>46082</v>
      </c>
      <c r="C451" s="2">
        <v>0.26319444444444445</v>
      </c>
      <c r="D451" t="s">
        <v>31</v>
      </c>
      <c r="E451" t="s">
        <v>48</v>
      </c>
      <c r="F451" t="s">
        <v>42</v>
      </c>
      <c r="G451" t="s">
        <v>28</v>
      </c>
      <c r="H451" t="s">
        <v>29</v>
      </c>
      <c r="I451" t="s">
        <v>29</v>
      </c>
      <c r="J451">
        <v>5</v>
      </c>
      <c r="K451">
        <v>0</v>
      </c>
      <c r="L451">
        <v>1</v>
      </c>
      <c r="M451">
        <v>209</v>
      </c>
      <c r="N451">
        <v>106</v>
      </c>
      <c r="O451">
        <v>0</v>
      </c>
      <c r="P451">
        <v>8217</v>
      </c>
      <c r="Q451">
        <v>1.22</v>
      </c>
      <c r="R451">
        <v>10003</v>
      </c>
      <c r="S451">
        <v>97</v>
      </c>
      <c r="T451">
        <v>27</v>
      </c>
      <c r="U451">
        <v>36</v>
      </c>
      <c r="V451">
        <v>7</v>
      </c>
      <c r="W451">
        <v>0</v>
      </c>
      <c r="X451">
        <v>12</v>
      </c>
      <c r="Y451" t="s">
        <v>497</v>
      </c>
      <c r="Z451">
        <v>167</v>
      </c>
      <c r="AA451" t="s">
        <v>498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F11C2-0EC8-45E7-95BB-3283397AAB6A}">
  <sheetPr>
    <tabColor theme="6"/>
  </sheetPr>
  <dimension ref="A1:M47"/>
  <sheetViews>
    <sheetView tabSelected="1" topLeftCell="A29" zoomScale="126" workbookViewId="0">
      <selection activeCell="A42" sqref="A42"/>
    </sheetView>
  </sheetViews>
  <sheetFormatPr defaultRowHeight="15" x14ac:dyDescent="0.25"/>
  <cols>
    <col min="1" max="1" width="20.140625" bestFit="1" customWidth="1"/>
    <col min="2" max="2" width="14.42578125" bestFit="1" customWidth="1"/>
    <col min="3" max="3" width="16.85546875" bestFit="1" customWidth="1"/>
    <col min="4" max="4" width="10.85546875" bestFit="1" customWidth="1"/>
    <col min="5" max="5" width="14.7109375" bestFit="1" customWidth="1"/>
    <col min="6" max="6" width="10.140625" bestFit="1" customWidth="1"/>
    <col min="7" max="7" width="17.28515625" bestFit="1" customWidth="1"/>
    <col min="8" max="8" width="23.85546875" customWidth="1"/>
    <col min="9" max="9" width="14.5703125" bestFit="1" customWidth="1"/>
    <col min="10" max="10" width="16.85546875" bestFit="1" customWidth="1"/>
    <col min="11" max="11" width="6.7109375" bestFit="1" customWidth="1"/>
    <col min="12" max="12" width="7.5703125" bestFit="1" customWidth="1"/>
    <col min="13" max="13" width="11.28515625" bestFit="1" customWidth="1"/>
  </cols>
  <sheetData>
    <row r="1" spans="1:11" x14ac:dyDescent="0.25">
      <c r="K1" s="29"/>
    </row>
    <row r="2" spans="1:11" ht="18.75" x14ac:dyDescent="0.3">
      <c r="D2" s="13" t="s">
        <v>502</v>
      </c>
      <c r="K2" s="29"/>
    </row>
    <row r="3" spans="1:11" ht="15.75" x14ac:dyDescent="0.25">
      <c r="A3" s="21" t="s">
        <v>503</v>
      </c>
      <c r="K3" s="29"/>
    </row>
    <row r="4" spans="1:11" x14ac:dyDescent="0.25">
      <c r="A4" s="27" t="s">
        <v>505</v>
      </c>
      <c r="B4" s="27" t="s">
        <v>506</v>
      </c>
      <c r="C4" s="27" t="s">
        <v>507</v>
      </c>
      <c r="D4" s="27" t="s">
        <v>504</v>
      </c>
      <c r="E4" s="27" t="s">
        <v>509</v>
      </c>
      <c r="K4" s="29"/>
    </row>
    <row r="5" spans="1:11" x14ac:dyDescent="0.25">
      <c r="A5" s="16">
        <v>870973</v>
      </c>
      <c r="B5" s="16">
        <v>13167415</v>
      </c>
      <c r="C5" s="16">
        <v>9547432</v>
      </c>
      <c r="D5" s="16">
        <v>10031</v>
      </c>
      <c r="E5" s="16">
        <v>450</v>
      </c>
      <c r="K5" s="29"/>
    </row>
    <row r="6" spans="1:11" x14ac:dyDescent="0.25">
      <c r="K6" s="29"/>
    </row>
    <row r="7" spans="1:11" ht="15.75" x14ac:dyDescent="0.25">
      <c r="A7" s="22" t="s">
        <v>518</v>
      </c>
      <c r="K7" s="29"/>
    </row>
    <row r="8" spans="1:11" x14ac:dyDescent="0.25">
      <c r="A8" s="27" t="s">
        <v>510</v>
      </c>
      <c r="B8" s="27" t="s">
        <v>511</v>
      </c>
      <c r="C8" s="28" t="s">
        <v>512</v>
      </c>
      <c r="D8" s="27" t="s">
        <v>513</v>
      </c>
      <c r="E8" s="27" t="s">
        <v>514</v>
      </c>
      <c r="F8" s="27" t="s">
        <v>515</v>
      </c>
      <c r="G8" s="27" t="s">
        <v>516</v>
      </c>
      <c r="H8" s="27" t="s">
        <v>517</v>
      </c>
      <c r="K8" s="29"/>
    </row>
    <row r="9" spans="1:11" x14ac:dyDescent="0.25">
      <c r="A9" s="18">
        <v>6.6146088659011656E-2</v>
      </c>
      <c r="B9" s="15">
        <v>1935.4955555555555</v>
      </c>
      <c r="C9" s="18">
        <v>0.57494204757208323</v>
      </c>
      <c r="D9" s="18">
        <v>0.10166790474561209</v>
      </c>
      <c r="E9" s="18">
        <v>0.15487047244862928</v>
      </c>
      <c r="F9" s="18">
        <v>3.0589926438592242E-2</v>
      </c>
      <c r="G9" s="18">
        <v>1.0506490122160598E-3</v>
      </c>
      <c r="H9" s="16">
        <v>1547421</v>
      </c>
      <c r="K9" s="29"/>
    </row>
    <row r="10" spans="1:11" x14ac:dyDescent="0.25">
      <c r="K10" s="29"/>
    </row>
    <row r="11" spans="1:11" ht="15.75" x14ac:dyDescent="0.25">
      <c r="A11" s="21" t="s">
        <v>519</v>
      </c>
      <c r="K11" s="29"/>
    </row>
    <row r="12" spans="1:11" x14ac:dyDescent="0.25">
      <c r="A12" s="27" t="s">
        <v>508</v>
      </c>
      <c r="B12" s="27" t="s">
        <v>520</v>
      </c>
      <c r="C12" s="27" t="s">
        <v>521</v>
      </c>
      <c r="D12" s="27" t="s">
        <v>522</v>
      </c>
      <c r="E12" s="27" t="s">
        <v>524</v>
      </c>
      <c r="F12" s="27" t="s">
        <v>523</v>
      </c>
      <c r="K12" s="29"/>
    </row>
    <row r="13" spans="1:11" x14ac:dyDescent="0.25">
      <c r="A13" s="20">
        <v>117573</v>
      </c>
      <c r="B13" s="19">
        <v>0.13499040728013384</v>
      </c>
      <c r="C13" s="19">
        <v>8.9290874480678255</v>
      </c>
      <c r="D13" s="19">
        <v>11.720965008473732</v>
      </c>
      <c r="E13" s="14">
        <v>7.4079337943235268</v>
      </c>
      <c r="F13" s="18">
        <v>9.1235067779059133E-3</v>
      </c>
      <c r="K13" s="29"/>
    </row>
    <row r="14" spans="1:11" x14ac:dyDescent="0.25">
      <c r="K14" s="29"/>
    </row>
    <row r="15" spans="1:11" x14ac:dyDescent="0.25">
      <c r="K15" s="29"/>
    </row>
    <row r="16" spans="1:11" x14ac:dyDescent="0.25">
      <c r="K16" s="29"/>
    </row>
    <row r="17" spans="1:12" x14ac:dyDescent="0.25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29"/>
    </row>
    <row r="18" spans="1:12" x14ac:dyDescent="0.25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</row>
    <row r="21" spans="1:12" ht="31.5" x14ac:dyDescent="0.5">
      <c r="F21" s="24" t="s">
        <v>525</v>
      </c>
    </row>
    <row r="23" spans="1:12" x14ac:dyDescent="0.25">
      <c r="B23" s="12" t="s">
        <v>526</v>
      </c>
      <c r="H23" s="12" t="s">
        <v>528</v>
      </c>
    </row>
    <row r="25" spans="1:12" x14ac:dyDescent="0.25">
      <c r="B25" s="17" t="s">
        <v>527</v>
      </c>
      <c r="C25" t="s">
        <v>510</v>
      </c>
      <c r="D25" t="s">
        <v>509</v>
      </c>
      <c r="H25" s="17" t="s">
        <v>510</v>
      </c>
      <c r="I25" s="17" t="s">
        <v>529</v>
      </c>
    </row>
    <row r="26" spans="1:12" x14ac:dyDescent="0.25">
      <c r="B26" s="25" t="s">
        <v>26</v>
      </c>
      <c r="C26" s="18">
        <v>8.9704878382164871E-2</v>
      </c>
      <c r="D26" s="23">
        <v>124</v>
      </c>
      <c r="H26" s="17" t="s">
        <v>527</v>
      </c>
      <c r="I26" t="s">
        <v>33</v>
      </c>
      <c r="J26" t="s">
        <v>27</v>
      </c>
      <c r="K26" t="s">
        <v>42</v>
      </c>
      <c r="L26" t="s">
        <v>45</v>
      </c>
    </row>
    <row r="27" spans="1:12" x14ac:dyDescent="0.25">
      <c r="B27" s="25" t="s">
        <v>32</v>
      </c>
      <c r="C27" s="18">
        <v>6.2624207668514051E-2</v>
      </c>
      <c r="D27" s="23">
        <v>129</v>
      </c>
      <c r="H27" s="25" t="s">
        <v>26</v>
      </c>
      <c r="I27" s="18">
        <v>4.5495679513499261E-2</v>
      </c>
      <c r="J27" s="18">
        <v>5.1257212203793992E-2</v>
      </c>
      <c r="K27" s="18">
        <v>2.7451706266406407E-2</v>
      </c>
      <c r="L27" s="18">
        <v>0.14027907990757199</v>
      </c>
    </row>
    <row r="28" spans="1:12" x14ac:dyDescent="0.25">
      <c r="B28" s="25" t="s">
        <v>39</v>
      </c>
      <c r="C28" s="18">
        <v>3.8573924134761774E-2</v>
      </c>
      <c r="D28" s="23">
        <v>118</v>
      </c>
      <c r="H28" s="25" t="s">
        <v>32</v>
      </c>
      <c r="I28" s="18">
        <v>7.6307424938830581E-2</v>
      </c>
      <c r="J28" s="18">
        <v>5.7640588700586082E-2</v>
      </c>
      <c r="K28" s="18">
        <v>1.7892003710359122E-2</v>
      </c>
      <c r="L28" s="18">
        <v>5.7468939588066564E-2</v>
      </c>
    </row>
    <row r="29" spans="1:12" x14ac:dyDescent="0.25">
      <c r="B29" s="25" t="s">
        <v>48</v>
      </c>
      <c r="C29" s="18">
        <v>3.4639866470521669E-2</v>
      </c>
      <c r="D29" s="23">
        <v>79</v>
      </c>
      <c r="H29" s="25" t="s">
        <v>39</v>
      </c>
      <c r="I29" s="18">
        <v>3.8679690696771622E-2</v>
      </c>
      <c r="J29" s="18">
        <v>4.1392457320478887E-2</v>
      </c>
      <c r="K29" s="18">
        <v>4.1503511716079307E-2</v>
      </c>
      <c r="L29" s="18">
        <v>3.4563157675059249E-2</v>
      </c>
    </row>
    <row r="30" spans="1:12" x14ac:dyDescent="0.25">
      <c r="H30" s="25" t="s">
        <v>48</v>
      </c>
      <c r="I30" s="18">
        <v>5.1437034411610197E-2</v>
      </c>
      <c r="J30" s="18">
        <v>3.6389233157255105E-2</v>
      </c>
      <c r="K30" s="18">
        <v>2.187657345036402E-2</v>
      </c>
      <c r="L30" s="18">
        <v>3.740688978583858E-2</v>
      </c>
    </row>
    <row r="31" spans="1:12" x14ac:dyDescent="0.25">
      <c r="B31" t="str">
        <f>B26</f>
        <v>TikTok</v>
      </c>
      <c r="C31" s="26">
        <f>GETPIVOTDATA("[Measures].[Engagement Rate]",$B$25,"[social_media_data].[Platform]","[social_media_data].[Platform].&amp;[TikTok]")</f>
        <v>8.9704878382164871E-2</v>
      </c>
    </row>
    <row r="32" spans="1:12" x14ac:dyDescent="0.25">
      <c r="B32" t="str">
        <f t="shared" ref="B32:B34" si="0">B27</f>
        <v>Instagram</v>
      </c>
      <c r="C32" s="26">
        <f>GETPIVOTDATA("[Measures].[Engagement Rate]",$B$25,"[social_media_data].[Platform]","[social_media_data].[Platform].&amp;[Instagram]")</f>
        <v>6.2624207668514051E-2</v>
      </c>
    </row>
    <row r="33" spans="2:13" x14ac:dyDescent="0.25">
      <c r="B33" t="str">
        <f t="shared" si="0"/>
        <v>Twitter/X</v>
      </c>
      <c r="C33" s="26">
        <f>GETPIVOTDATA("[Measures].[Engagement Rate]",$B$25,"[social_media_data].[Platform]","[social_media_data].[Platform].&amp;[Twitter/X]")</f>
        <v>3.8573924134761774E-2</v>
      </c>
      <c r="H33" s="17" t="s">
        <v>527</v>
      </c>
      <c r="I33" t="s">
        <v>509</v>
      </c>
      <c r="J33" t="s">
        <v>510</v>
      </c>
    </row>
    <row r="34" spans="2:13" x14ac:dyDescent="0.25">
      <c r="B34" t="str">
        <f t="shared" si="0"/>
        <v>Facebook</v>
      </c>
      <c r="C34" s="26">
        <f>GETPIVOTDATA("[Measures].[Engagement Rate]",$B$25,"[social_media_data].[Platform]","[social_media_data].[Platform].&amp;[Facebook]")</f>
        <v>3.4639866470521669E-2</v>
      </c>
      <c r="H34" s="25" t="s">
        <v>45</v>
      </c>
      <c r="I34" s="23">
        <v>163</v>
      </c>
      <c r="J34" s="18">
        <v>9.3479280143339574E-2</v>
      </c>
      <c r="L34" t="str">
        <f>H34</f>
        <v>Video</v>
      </c>
      <c r="M34" s="26">
        <f>GETPIVOTDATA("[Measures].[Engagement Rate]",$H$33,"[social_media_data].[Content_Type]","[social_media_data].[Content_Type].&amp;[Video]")</f>
        <v>9.3479280143339574E-2</v>
      </c>
    </row>
    <row r="35" spans="2:13" x14ac:dyDescent="0.25">
      <c r="H35" s="25" t="s">
        <v>33</v>
      </c>
      <c r="I35" s="23">
        <v>105</v>
      </c>
      <c r="J35" s="18">
        <v>6.0985905953405216E-2</v>
      </c>
      <c r="L35" t="str">
        <f t="shared" ref="L35:L37" si="1">H35</f>
        <v>Carousel</v>
      </c>
      <c r="M35" s="26">
        <f>GETPIVOTDATA("[Measures].[Engagement Rate]",$H$33,"[social_media_data].[Content_Type]","[social_media_data].[Content_Type].&amp;[Carousel]")</f>
        <v>6.0985905953405216E-2</v>
      </c>
    </row>
    <row r="36" spans="2:13" x14ac:dyDescent="0.25">
      <c r="H36" s="25" t="s">
        <v>27</v>
      </c>
      <c r="I36" s="23">
        <v>113</v>
      </c>
      <c r="J36" s="18">
        <v>4.8841171968635834E-2</v>
      </c>
      <c r="L36" t="str">
        <f t="shared" si="1"/>
        <v>Image</v>
      </c>
      <c r="M36" s="26">
        <f>GETPIVOTDATA("[Measures].[Engagement Rate]",$H$33,"[social_media_data].[Content_Type]","[social_media_data].[Content_Type].&amp;[Image]")</f>
        <v>4.8841171968635834E-2</v>
      </c>
    </row>
    <row r="37" spans="2:13" x14ac:dyDescent="0.25">
      <c r="H37" s="25" t="s">
        <v>42</v>
      </c>
      <c r="I37" s="23">
        <v>69</v>
      </c>
      <c r="J37" s="18">
        <v>2.8540818538626729E-2</v>
      </c>
      <c r="L37" t="str">
        <f t="shared" si="1"/>
        <v>Text</v>
      </c>
      <c r="M37" s="26">
        <f>GETPIVOTDATA("[Measures].[Engagement Rate]",$H$33,"[social_media_data].[Content_Type]","[social_media_data].[Content_Type].&amp;[Text]")</f>
        <v>2.8540818538626729E-2</v>
      </c>
    </row>
    <row r="39" spans="2:13" x14ac:dyDescent="0.25">
      <c r="B39" s="12" t="s">
        <v>530</v>
      </c>
    </row>
    <row r="41" spans="2:13" x14ac:dyDescent="0.25">
      <c r="B41" s="17" t="s">
        <v>527</v>
      </c>
      <c r="C41" t="s">
        <v>510</v>
      </c>
      <c r="D41" t="s">
        <v>509</v>
      </c>
      <c r="E41" t="s">
        <v>504</v>
      </c>
      <c r="F41" t="s">
        <v>508</v>
      </c>
      <c r="G41" t="s">
        <v>505</v>
      </c>
    </row>
    <row r="42" spans="2:13" x14ac:dyDescent="0.25">
      <c r="B42" s="25" t="s">
        <v>157</v>
      </c>
      <c r="C42" s="18">
        <v>8.0828929019693949E-2</v>
      </c>
      <c r="D42" s="16">
        <v>96</v>
      </c>
      <c r="E42" s="16">
        <v>2391</v>
      </c>
      <c r="F42" s="20">
        <v>26376</v>
      </c>
      <c r="G42" s="16">
        <v>269120</v>
      </c>
      <c r="I42" t="str">
        <f>B42</f>
        <v>Summer Vibes</v>
      </c>
      <c r="J42">
        <f>GETPIVOTDATA("[Measures].[Total Engagement]",$B$41,"[social_media_data].[Campaign]","[social_media_data].[Campaign].&amp;[Summer Vibes]")</f>
        <v>269120</v>
      </c>
    </row>
    <row r="43" spans="2:13" x14ac:dyDescent="0.25">
      <c r="B43" s="25" t="s">
        <v>28</v>
      </c>
      <c r="C43" s="18">
        <v>6.6955666395790855E-2</v>
      </c>
      <c r="D43" s="16">
        <v>118</v>
      </c>
      <c r="E43" s="16">
        <v>2833</v>
      </c>
      <c r="F43" s="20">
        <v>28878</v>
      </c>
      <c r="G43" s="16">
        <v>227078</v>
      </c>
      <c r="I43" t="str">
        <f>B43</f>
        <v>Spring Launch</v>
      </c>
      <c r="J43">
        <f>GETPIVOTDATA("[Measures].[Total Engagement]",$B$41,"[social_media_data].[Campaign]","[social_media_data].[Campaign].&amp;[Spring Launch]")</f>
        <v>227078</v>
      </c>
    </row>
    <row r="44" spans="2:13" x14ac:dyDescent="0.25">
      <c r="B44" s="25" t="s">
        <v>406</v>
      </c>
      <c r="C44" s="18">
        <v>5.6771974615512831E-2</v>
      </c>
      <c r="D44" s="16">
        <v>87</v>
      </c>
      <c r="E44" s="16">
        <v>1452</v>
      </c>
      <c r="F44" s="20">
        <v>22674</v>
      </c>
      <c r="G44" s="16">
        <v>139646</v>
      </c>
      <c r="I44" t="str">
        <f>B44</f>
        <v>New Year Reset</v>
      </c>
      <c r="J44">
        <f>GETPIVOTDATA("[Measures].[Total Engagement]",$B$41,"[social_media_data].[Campaign]","[social_media_data].[Campaign].&amp;[New Year Reset]")</f>
        <v>139646</v>
      </c>
    </row>
    <row r="45" spans="2:13" x14ac:dyDescent="0.25">
      <c r="B45" s="25" t="s">
        <v>360</v>
      </c>
      <c r="C45" s="18">
        <v>5.9789952599506958E-2</v>
      </c>
      <c r="D45" s="16">
        <v>45</v>
      </c>
      <c r="E45" s="16">
        <v>1188</v>
      </c>
      <c r="F45" s="20">
        <v>14814</v>
      </c>
      <c r="G45" s="16">
        <v>101768</v>
      </c>
      <c r="I45" t="str">
        <f>B45</f>
        <v>Holiday Magic</v>
      </c>
      <c r="J45">
        <f>GETPIVOTDATA("[Measures].[Total Engagement]",$B$41,"[social_media_data].[Campaign]","[social_media_data].[Campaign].&amp;[Holiday Magic]")</f>
        <v>101768</v>
      </c>
    </row>
    <row r="46" spans="2:13" x14ac:dyDescent="0.25">
      <c r="B46" s="25" t="s">
        <v>293</v>
      </c>
      <c r="C46" s="18">
        <v>6.3373141401211169E-2</v>
      </c>
      <c r="D46" s="16">
        <v>66</v>
      </c>
      <c r="E46" s="16">
        <v>1254</v>
      </c>
      <c r="F46" s="20">
        <v>14674</v>
      </c>
      <c r="G46" s="16">
        <v>82379</v>
      </c>
      <c r="I46" t="str">
        <f>B46</f>
        <v>Fall Collection</v>
      </c>
      <c r="J46">
        <f>GETPIVOTDATA("[Measures].[Total Engagement]",$B$41,"[social_media_data].[Campaign]","[social_media_data].[Campaign].&amp;[Fall Collection]")</f>
        <v>82379</v>
      </c>
    </row>
    <row r="47" spans="2:13" x14ac:dyDescent="0.25">
      <c r="B47" s="25" t="s">
        <v>254</v>
      </c>
      <c r="C47" s="18">
        <v>5.1775196002762321E-2</v>
      </c>
      <c r="D47" s="16">
        <v>38</v>
      </c>
      <c r="E47" s="16">
        <v>913</v>
      </c>
      <c r="F47" s="20">
        <v>10157</v>
      </c>
      <c r="G47" s="16">
        <v>50982</v>
      </c>
      <c r="I47" t="str">
        <f>B47</f>
        <v>Back to School</v>
      </c>
      <c r="J47">
        <f>GETPIVOTDATA("[Measures].[Total Engagement]",$B$41,"[social_media_data].[Campaign]","[social_media_data].[Campaign].&amp;[Back to School]")</f>
        <v>50982</v>
      </c>
    </row>
  </sheetData>
  <conditionalFormatting pivot="1" sqref="I27:L30">
    <cfRule type="colorScale" priority="9">
      <colorScale>
        <cfvo type="min"/>
        <cfvo type="max"/>
        <color rgb="FFFCFCFF"/>
        <color rgb="FF63BE7B"/>
      </colorScale>
    </cfRule>
  </conditionalFormatting>
  <conditionalFormatting pivot="1" sqref="I27:I30">
    <cfRule type="colorScale" priority="13">
      <colorScale>
        <cfvo type="min"/>
        <cfvo type="max"/>
        <color rgb="FFFCFCFF"/>
        <color rgb="FF63BE7B"/>
      </colorScale>
    </cfRule>
  </conditionalFormatting>
  <conditionalFormatting pivot="1" sqref="J27:J30">
    <cfRule type="colorScale" priority="12">
      <colorScale>
        <cfvo type="min"/>
        <cfvo type="max"/>
        <color rgb="FFFCFCFF"/>
        <color rgb="FF63BE7B"/>
      </colorScale>
    </cfRule>
  </conditionalFormatting>
  <conditionalFormatting pivot="1" sqref="K27:K30">
    <cfRule type="colorScale" priority="11">
      <colorScale>
        <cfvo type="min"/>
        <cfvo type="max"/>
        <color rgb="FFFCFCFF"/>
        <color rgb="FF63BE7B"/>
      </colorScale>
    </cfRule>
  </conditionalFormatting>
  <conditionalFormatting pivot="1" sqref="L27:L30">
    <cfRule type="colorScale" priority="10">
      <colorScale>
        <cfvo type="min"/>
        <cfvo type="max"/>
        <color rgb="FFFCFCFF"/>
        <color rgb="FF63BE7B"/>
      </colorScale>
    </cfRule>
  </conditionalFormatting>
  <conditionalFormatting pivot="1" sqref="J34:J37">
    <cfRule type="colorScale" priority="4">
      <colorScale>
        <cfvo type="min"/>
        <cfvo type="max"/>
        <color rgb="FFFCFCFF"/>
        <color rgb="FF63BE7B"/>
      </colorScale>
    </cfRule>
  </conditionalFormatting>
  <conditionalFormatting pivot="1" sqref="J35">
    <cfRule type="colorScale" priority="8">
      <colorScale>
        <cfvo type="min"/>
        <cfvo type="max"/>
        <color rgb="FFFCFCFF"/>
        <color rgb="FF63BE7B"/>
      </colorScale>
    </cfRule>
  </conditionalFormatting>
  <conditionalFormatting pivot="1" sqref="J36">
    <cfRule type="colorScale" priority="7">
      <colorScale>
        <cfvo type="min"/>
        <cfvo type="max"/>
        <color rgb="FFFCFCFF"/>
        <color rgb="FF63BE7B"/>
      </colorScale>
    </cfRule>
  </conditionalFormatting>
  <conditionalFormatting pivot="1" sqref="J37">
    <cfRule type="colorScale" priority="6">
      <colorScale>
        <cfvo type="min"/>
        <cfvo type="max"/>
        <color rgb="FFFCFCFF"/>
        <color rgb="FF63BE7B"/>
      </colorScale>
    </cfRule>
  </conditionalFormatting>
  <conditionalFormatting pivot="1" sqref="J34">
    <cfRule type="colorScale" priority="5">
      <colorScale>
        <cfvo type="min"/>
        <cfvo type="max"/>
        <color rgb="FFFCFCFF"/>
        <color rgb="FF63BE7B"/>
      </colorScale>
    </cfRule>
  </conditionalFormatting>
  <conditionalFormatting pivot="1" sqref="C42:C47">
    <cfRule type="colorScale" priority="3">
      <colorScale>
        <cfvo type="min"/>
        <cfvo type="max"/>
        <color rgb="FFFCFCFF"/>
        <color rgb="FF63BE7B"/>
      </colorScale>
    </cfRule>
  </conditionalFormatting>
  <conditionalFormatting pivot="1" sqref="F42:F47">
    <cfRule type="colorScale" priority="2">
      <colorScale>
        <cfvo type="min"/>
        <cfvo type="max"/>
        <color rgb="FFFCFCFF"/>
        <color rgb="FFF8696B"/>
      </colorScale>
    </cfRule>
  </conditionalFormatting>
  <conditionalFormatting pivot="1" sqref="G42:G47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71A1E-6F78-47FE-8385-2B030260FA6C}">
  <dimension ref="A3:C20"/>
  <sheetViews>
    <sheetView zoomScale="103" workbookViewId="0">
      <selection activeCell="F34" sqref="F34"/>
    </sheetView>
  </sheetViews>
  <sheetFormatPr defaultRowHeight="15" x14ac:dyDescent="0.25"/>
  <sheetData>
    <row r="3" spans="1:3" x14ac:dyDescent="0.25">
      <c r="A3" s="3"/>
      <c r="B3" s="4"/>
      <c r="C3" s="5"/>
    </row>
    <row r="4" spans="1:3" x14ac:dyDescent="0.25">
      <c r="A4" s="6"/>
      <c r="B4" s="7"/>
      <c r="C4" s="8"/>
    </row>
    <row r="5" spans="1:3" x14ac:dyDescent="0.25">
      <c r="A5" s="6"/>
      <c r="B5" s="7"/>
      <c r="C5" s="8"/>
    </row>
    <row r="6" spans="1:3" x14ac:dyDescent="0.25">
      <c r="A6" s="6"/>
      <c r="B6" s="7"/>
      <c r="C6" s="8"/>
    </row>
    <row r="7" spans="1:3" x14ac:dyDescent="0.25">
      <c r="A7" s="6"/>
      <c r="B7" s="7"/>
      <c r="C7" s="8"/>
    </row>
    <row r="8" spans="1:3" x14ac:dyDescent="0.25">
      <c r="A8" s="6"/>
      <c r="B8" s="7"/>
      <c r="C8" s="8"/>
    </row>
    <row r="9" spans="1:3" x14ac:dyDescent="0.25">
      <c r="A9" s="6"/>
      <c r="B9" s="7"/>
      <c r="C9" s="8"/>
    </row>
    <row r="10" spans="1:3" x14ac:dyDescent="0.25">
      <c r="A10" s="6"/>
      <c r="B10" s="7"/>
      <c r="C10" s="8"/>
    </row>
    <row r="11" spans="1:3" x14ac:dyDescent="0.25">
      <c r="A11" s="6"/>
      <c r="B11" s="7"/>
      <c r="C11" s="8"/>
    </row>
    <row r="12" spans="1:3" x14ac:dyDescent="0.25">
      <c r="A12" s="6"/>
      <c r="B12" s="7"/>
      <c r="C12" s="8"/>
    </row>
    <row r="13" spans="1:3" x14ac:dyDescent="0.25">
      <c r="A13" s="6"/>
      <c r="B13" s="7"/>
      <c r="C13" s="8"/>
    </row>
    <row r="14" spans="1:3" x14ac:dyDescent="0.25">
      <c r="A14" s="6"/>
      <c r="B14" s="7"/>
      <c r="C14" s="8"/>
    </row>
    <row r="15" spans="1:3" x14ac:dyDescent="0.25">
      <c r="A15" s="6"/>
      <c r="B15" s="7"/>
      <c r="C15" s="8"/>
    </row>
    <row r="16" spans="1:3" x14ac:dyDescent="0.25">
      <c r="A16" s="6"/>
      <c r="B16" s="7"/>
      <c r="C16" s="8"/>
    </row>
    <row r="17" spans="1:3" x14ac:dyDescent="0.25">
      <c r="A17" s="6"/>
      <c r="B17" s="7"/>
      <c r="C17" s="8"/>
    </row>
    <row r="18" spans="1:3" x14ac:dyDescent="0.25">
      <c r="A18" s="6"/>
      <c r="B18" s="7"/>
      <c r="C18" s="8"/>
    </row>
    <row r="19" spans="1:3" x14ac:dyDescent="0.25">
      <c r="A19" s="6"/>
      <c r="B19" s="7"/>
      <c r="C19" s="8"/>
    </row>
    <row r="20" spans="1:3" x14ac:dyDescent="0.25">
      <c r="A20" s="9"/>
      <c r="B20" s="10"/>
      <c r="C20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383C5-C1F1-44B9-B1C0-42F1CAF55225}">
  <dimension ref="A1"/>
  <sheetViews>
    <sheetView zoomScale="75" zoomScaleNormal="75"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08ADB-AD76-4C45-9ECD-FF9C0D0E67E0}">
  <dimension ref="A1"/>
  <sheetViews>
    <sheetView zoomScale="75" zoomScaleNormal="75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AC2EE3FC-7FE1-44D6-9E46-50B10DE7EDD1}">
  <ds:schemaRefs/>
</ds:datastoreItem>
</file>

<file path=customXml/itemProps2.xml><?xml version="1.0" encoding="utf-8"?>
<ds:datastoreItem xmlns:ds="http://schemas.openxmlformats.org/officeDocument/2006/customXml" ds:itemID="{6B71DB25-C4C8-4274-9A26-A87469BD996A}">
  <ds:schemaRefs/>
</ds:datastoreItem>
</file>

<file path=customXml/itemProps3.xml><?xml version="1.0" encoding="utf-8"?>
<ds:datastoreItem xmlns:ds="http://schemas.openxmlformats.org/officeDocument/2006/customXml" ds:itemID="{C0DF28DD-69BA-4B6B-BE6C-1A26222221A7}">
  <ds:schemaRefs/>
</ds:datastoreItem>
</file>

<file path=customXml/itemProps4.xml><?xml version="1.0" encoding="utf-8"?>
<ds:datastoreItem xmlns:ds="http://schemas.openxmlformats.org/officeDocument/2006/customXml" ds:itemID="{3D6EB040-4AED-43C2-8287-72BA04A354FA}">
  <ds:schemaRefs/>
</ds:datastoreItem>
</file>

<file path=customXml/itemProps5.xml><?xml version="1.0" encoding="utf-8"?>
<ds:datastoreItem xmlns:ds="http://schemas.openxmlformats.org/officeDocument/2006/customXml" ds:itemID="{793B672D-2ABB-4396-8FB8-AE58D90CA26A}">
  <ds:schemaRefs/>
</ds:datastoreItem>
</file>

<file path=customXml/itemProps6.xml><?xml version="1.0" encoding="utf-8"?>
<ds:datastoreItem xmlns:ds="http://schemas.openxmlformats.org/officeDocument/2006/customXml" ds:itemID="{56B49D20-DEF5-4E53-A6E1-8C72563876BB}">
  <ds:schemaRefs/>
</ds:datastoreItem>
</file>

<file path=customXml/itemProps7.xml><?xml version="1.0" encoding="utf-8"?>
<ds:datastoreItem xmlns:ds="http://schemas.openxmlformats.org/officeDocument/2006/customXml" ds:itemID="{4088714F-D400-48C8-978C-011CCA6B584D}">
  <ds:schemaRefs/>
</ds:datastoreItem>
</file>

<file path=customXml/itemProps8.xml><?xml version="1.0" encoding="utf-8"?>
<ds:datastoreItem xmlns:ds="http://schemas.openxmlformats.org/officeDocument/2006/customXml" ds:itemID="{F190CE2E-A30C-4CE2-86A1-B06D5B4B8579}">
  <ds:schemaRefs/>
</ds:datastoreItem>
</file>

<file path=customXml/itemProps9.xml><?xml version="1.0" encoding="utf-8"?>
<ds:datastoreItem xmlns:ds="http://schemas.openxmlformats.org/officeDocument/2006/customXml" ds:itemID="{0FAFBC4A-3A26-4529-BFBD-303C88335467}">
  <ds:schemaRefs/>
</ds:datastoreItem>
</file>

<file path=customXml/itemProps10.xml><?xml version="1.0" encoding="utf-8"?>
<ds:datastoreItem xmlns:ds="http://schemas.openxmlformats.org/officeDocument/2006/customXml" ds:itemID="{E0B6D88F-33C0-45DB-B457-1CA7D3D67CC7}">
  <ds:schemaRefs/>
</ds:datastoreItem>
</file>

<file path=customXml/itemProps11.xml><?xml version="1.0" encoding="utf-8"?>
<ds:datastoreItem xmlns:ds="http://schemas.openxmlformats.org/officeDocument/2006/customXml" ds:itemID="{371F4900-8B13-4A63-8317-55B5700BBDDD}">
  <ds:schemaRefs/>
</ds:datastoreItem>
</file>

<file path=customXml/itemProps12.xml><?xml version="1.0" encoding="utf-8"?>
<ds:datastoreItem xmlns:ds="http://schemas.openxmlformats.org/officeDocument/2006/customXml" ds:itemID="{D44F9E4D-F93E-4DAD-99EB-0BA4D4ADFA7F}">
  <ds:schemaRefs/>
</ds:datastoreItem>
</file>

<file path=customXml/itemProps13.xml><?xml version="1.0" encoding="utf-8"?>
<ds:datastoreItem xmlns:ds="http://schemas.openxmlformats.org/officeDocument/2006/customXml" ds:itemID="{51DDFDFD-B6FF-484E-88E3-537B2EB218CC}">
  <ds:schemaRefs/>
</ds:datastoreItem>
</file>

<file path=customXml/itemProps14.xml><?xml version="1.0" encoding="utf-8"?>
<ds:datastoreItem xmlns:ds="http://schemas.openxmlformats.org/officeDocument/2006/customXml" ds:itemID="{8F616EAD-5F26-464C-9750-315BDE5018C3}">
  <ds:schemaRefs/>
</ds:datastoreItem>
</file>

<file path=customXml/itemProps15.xml><?xml version="1.0" encoding="utf-8"?>
<ds:datastoreItem xmlns:ds="http://schemas.openxmlformats.org/officeDocument/2006/customXml" ds:itemID="{FA852C7A-021A-4277-A1D4-EC7ECECBB3B7}">
  <ds:schemaRefs/>
</ds:datastoreItem>
</file>

<file path=customXml/itemProps16.xml><?xml version="1.0" encoding="utf-8"?>
<ds:datastoreItem xmlns:ds="http://schemas.openxmlformats.org/officeDocument/2006/customXml" ds:itemID="{E4003787-3E28-4ACE-9231-8795FB836DA1}">
  <ds:schemaRefs/>
</ds:datastoreItem>
</file>

<file path=customXml/itemProps17.xml><?xml version="1.0" encoding="utf-8"?>
<ds:datastoreItem xmlns:ds="http://schemas.openxmlformats.org/officeDocument/2006/customXml" ds:itemID="{5CBB0720-E111-4576-95DD-AAD56CAE7D0B}">
  <ds:schemaRefs/>
</ds:datastoreItem>
</file>

<file path=customXml/itemProps18.xml><?xml version="1.0" encoding="utf-8"?>
<ds:datastoreItem xmlns:ds="http://schemas.openxmlformats.org/officeDocument/2006/customXml" ds:itemID="{7D8E7504-1B3E-4438-8C88-8BFEC619E2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social_media_data</vt:lpstr>
      <vt:lpstr>Analysis</vt:lpstr>
      <vt:lpstr>Dashboard Elements</vt:lpstr>
      <vt:lpstr>Page1</vt:lpstr>
      <vt:lpstr>Page2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ziad kamel</cp:lastModifiedBy>
  <dcterms:created xsi:type="dcterms:W3CDTF">2026-09-09T19:51:18Z</dcterms:created>
  <dcterms:modified xsi:type="dcterms:W3CDTF">2026-09-12T03:07:22Z</dcterms:modified>
</cp:coreProperties>
</file>